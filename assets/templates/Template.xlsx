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240" firstSheet="4" activeTab="14"/>
  </bookViews>
  <sheets>
    <sheet name="Budget" sheetId="1" r:id="rId1"/>
    <sheet name="Jan" sheetId="2" r:id="rId2"/>
    <sheet name="Feb" sheetId="3" r:id="rId3"/>
    <sheet name="Mar" sheetId="4" r:id="rId4"/>
    <sheet name="Apr" sheetId="5" r:id="rId5"/>
    <sheet name="May" sheetId="6" r:id="rId6"/>
    <sheet name="Jun" sheetId="7" r:id="rId7"/>
    <sheet name="Jul" sheetId="8" r:id="rId8"/>
    <sheet name="Aug" sheetId="9" r:id="rId9"/>
    <sheet name="Sep" sheetId="10" r:id="rId10"/>
    <sheet name="Oct" sheetId="11" r:id="rId11"/>
    <sheet name="Nov" sheetId="12" r:id="rId12"/>
    <sheet name="Dec" sheetId="13" r:id="rId13"/>
    <sheet name="Rules" sheetId="14" r:id="rId14"/>
    <sheet name="Section-Category" sheetId="15" r:id="rId15"/>
  </sheets>
  <definedNames>
    <definedName name="_xlnm._FilterDatabase" localSheetId="1" hidden="1">Jan!$A$175:$C$294</definedName>
    <definedName name="_xlnm._FilterDatabase" localSheetId="2" hidden="1">Feb!$A$175:$C$294</definedName>
    <definedName name="_xlnm._FilterDatabase" localSheetId="3" hidden="1">Mar!$A$175:$C$294</definedName>
    <definedName name="_xlnm._FilterDatabase" localSheetId="4" hidden="1">Apr!$A$175:$C$294</definedName>
    <definedName name="_xlnm._FilterDatabase" localSheetId="5" hidden="1">May!$A$175:$C$294</definedName>
    <definedName name="_xlnm._FilterDatabase" localSheetId="6" hidden="1">Jun!$A$175:$C$294</definedName>
    <definedName name="_xlnm._FilterDatabase" localSheetId="7" hidden="1">Jul!$A$175:$C$294</definedName>
    <definedName name="_xlnm._FilterDatabase" localSheetId="8" hidden="1">Aug!$A$175:$C$294</definedName>
    <definedName name="_xlnm._FilterDatabase" localSheetId="9" hidden="1">Sep!$A$175:$C$294</definedName>
    <definedName name="_xlnm._FilterDatabase" localSheetId="10" hidden="1">Oct!$A$175:$C$294</definedName>
    <definedName name="_xlnm._FilterDatabase" localSheetId="11" hidden="1">Nov!$A$175:$C$294</definedName>
    <definedName name="_xlnm._FilterDatabase" localSheetId="12" hidden="1">Dec!$A$175:$C$294</definedName>
    <definedName name="_xlnm._FilterDatabase">Dec!$A$175:$C$294</definedName>
    <definedName name="_xlnm.Print_Area" localSheetId="0">Budget!$A1:$O211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A42" authorId="0">
      <text>
        <r>
          <rPr>
            <sz val="10"/>
            <rFont val="SimSun"/>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2.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3.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4.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5.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6.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7.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8.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9.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0.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1.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2.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3.xml><?xml version="1.0" encoding="utf-8"?>
<comments xmlns="http://schemas.openxmlformats.org/spreadsheetml/2006/main">
  <authors>
    <author>Author</author>
  </authors>
  <commentList>
    <comment ref="A11"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comments14.xml><?xml version="1.0" encoding="utf-8"?>
<comments xmlns="http://schemas.openxmlformats.org/spreadsheetml/2006/main">
  <authors>
    <author>Author</author>
  </authors>
  <commentList>
    <comment ref="A8" authorId="0">
      <text>
        <r>
          <rPr>
            <sz val="10"/>
            <rFont val="Arial"/>
            <charset val="134"/>
          </rPr>
          <t>Transfer from Savings:
This budget spreadsheet treats transfers to savings as an expense (money flowing out of your spending accounts), so transfers from savings back into your spending accounts are treated as income for budgeting purposes.</t>
        </r>
      </text>
    </comment>
  </commentList>
</comments>
</file>

<file path=xl/sharedStrings.xml><?xml version="1.0" encoding="utf-8"?>
<sst xmlns="http://schemas.openxmlformats.org/spreadsheetml/2006/main" count="689" uniqueCount="150">
  <si>
    <t>Family Budget Planner -</t>
  </si>
  <si>
    <t>Starting Balance:</t>
  </si>
  <si>
    <t>AG</t>
  </si>
  <si>
    <t>AF</t>
  </si>
  <si>
    <t>AH</t>
  </si>
  <si>
    <t>Goal: Saving For My Daughter</t>
  </si>
  <si>
    <t>Summary</t>
  </si>
  <si>
    <t>Jan</t>
  </si>
  <si>
    <t>Feb</t>
  </si>
  <si>
    <t>Mar</t>
  </si>
  <si>
    <t>Apr</t>
  </si>
  <si>
    <t>May</t>
  </si>
  <si>
    <t>Jun</t>
  </si>
  <si>
    <t>Jul</t>
  </si>
  <si>
    <t>Aug</t>
  </si>
  <si>
    <t>Sep</t>
  </si>
  <si>
    <t>Oct</t>
  </si>
  <si>
    <t>Nov</t>
  </si>
  <si>
    <t>Dec</t>
  </si>
  <si>
    <t>Total</t>
  </si>
  <si>
    <t>Avg</t>
  </si>
  <si>
    <t>BUDGET REMINDER</t>
  </si>
  <si>
    <t>Balance I Can Used (Bank)</t>
  </si>
  <si>
    <t>Balance I have Left (Bank)</t>
  </si>
  <si>
    <t>PETTY CASH</t>
  </si>
  <si>
    <t>Petty Cash</t>
  </si>
  <si>
    <t>Petty Cash Used</t>
  </si>
  <si>
    <t>Current Balance (Petty Cash)</t>
  </si>
  <si>
    <t>BANK</t>
  </si>
  <si>
    <t>Total Income</t>
  </si>
  <si>
    <t>Total Expenses</t>
  </si>
  <si>
    <t>NET (Income - Expenses)</t>
  </si>
  <si>
    <t xml:space="preserve"> Current Balance (In Bank)</t>
  </si>
  <si>
    <t>Saving Total (Cash + Bank)</t>
  </si>
  <si>
    <t xml:space="preserve"> Total </t>
  </si>
  <si>
    <t xml:space="preserve"> Avg </t>
  </si>
  <si>
    <t>Total INCOME</t>
  </si>
  <si>
    <t>Summary/Date</t>
  </si>
  <si>
    <t>Total Sum</t>
  </si>
  <si>
    <t>INCOME</t>
  </si>
  <si>
    <t>Wages &amp; Tips</t>
  </si>
  <si>
    <t>Interest Income</t>
  </si>
  <si>
    <t>Dividends</t>
  </si>
  <si>
    <t>Gifts Received</t>
  </si>
  <si>
    <t>Refunds/Reimbursements</t>
  </si>
  <si>
    <t>Other</t>
  </si>
  <si>
    <t>Transfer From Savings</t>
  </si>
  <si>
    <t>Eidi</t>
  </si>
  <si>
    <t>[42]</t>
  </si>
  <si>
    <t>Total Per Day</t>
  </si>
  <si>
    <t>Pie Graph</t>
  </si>
  <si>
    <t>By</t>
  </si>
  <si>
    <t>Percentage</t>
  </si>
  <si>
    <t>&lt;Name-Of-Entry&gt;</t>
  </si>
  <si>
    <t>Rules:</t>
  </si>
  <si>
    <t>Go to the Budget tab for viewing/preview purposes only.</t>
  </si>
  <si>
    <t>To add or delete amounts, navigate to the specific month tab. Do not make changes directly in the Budget worksheet.</t>
  </si>
  <si>
    <t>You are allowed to add, modify, or delete values only in following designated rows in Budget Worksheet</t>
  </si>
  <si>
    <t>Year</t>
  </si>
  <si>
    <t>Month</t>
  </si>
  <si>
    <t>#</t>
  </si>
  <si>
    <t>April</t>
  </si>
  <si>
    <t>SAVINGS EXPENSE</t>
  </si>
  <si>
    <t>Emergency Fund</t>
  </si>
  <si>
    <t>Investments</t>
  </si>
  <si>
    <t>Pocket Money Wife</t>
  </si>
  <si>
    <t>% of Total Expenses</t>
  </si>
  <si>
    <t>HOME EXPENSES</t>
  </si>
  <si>
    <t>Mortgage/Rent</t>
  </si>
  <si>
    <t>Electricity</t>
  </si>
  <si>
    <t>Gas/Oil</t>
  </si>
  <si>
    <t>Water/Sewer/Trash</t>
  </si>
  <si>
    <t>Phone</t>
  </si>
  <si>
    <t>Cable/Satellite</t>
  </si>
  <si>
    <t>Internet</t>
  </si>
  <si>
    <t>Furnishings/Appliances</t>
  </si>
  <si>
    <t>Lawn/Garden</t>
  </si>
  <si>
    <t>Home Supplies</t>
  </si>
  <si>
    <t>Maintenance</t>
  </si>
  <si>
    <t>Improvements</t>
  </si>
  <si>
    <t>DAILY LIVING</t>
  </si>
  <si>
    <t>Groceries</t>
  </si>
  <si>
    <t>Personal Supplies</t>
  </si>
  <si>
    <t>Clothing</t>
  </si>
  <si>
    <t>Cleaning Services</t>
  </si>
  <si>
    <t>Dining/Eating Out</t>
  </si>
  <si>
    <t>Dry Cleaning</t>
  </si>
  <si>
    <t>Salon/Barber</t>
  </si>
  <si>
    <t>FoodPanda</t>
  </si>
  <si>
    <t>JazzCash/EasyPaisa</t>
  </si>
  <si>
    <t>CHILDREN</t>
  </si>
  <si>
    <t>Medical</t>
  </si>
  <si>
    <t>School Tuition</t>
  </si>
  <si>
    <t>School Lunch</t>
  </si>
  <si>
    <t>School Supplies</t>
  </si>
  <si>
    <t>Babysitting</t>
  </si>
  <si>
    <t>Toys/Games</t>
  </si>
  <si>
    <t>TRANSPORTATION</t>
  </si>
  <si>
    <t>Vehicle Payments</t>
  </si>
  <si>
    <t>Fuel</t>
  </si>
  <si>
    <t>Bus/Taxi/Train Fare</t>
  </si>
  <si>
    <t>Repairs</t>
  </si>
  <si>
    <t>Registration/License</t>
  </si>
  <si>
    <t>HEALTH</t>
  </si>
  <si>
    <t>Doctor/Dentist</t>
  </si>
  <si>
    <t>Medicine/Drugs</t>
  </si>
  <si>
    <t>Lab Test</t>
  </si>
  <si>
    <t>Consultation</t>
  </si>
  <si>
    <t>Car Repair / Workshop</t>
  </si>
  <si>
    <t>Food</t>
  </si>
  <si>
    <t>Donation</t>
  </si>
  <si>
    <t>Pocket Money Husband</t>
  </si>
  <si>
    <t>% of Total Petty Cash</t>
  </si>
  <si>
    <t>EDUCATION</t>
  </si>
  <si>
    <t>Tuition</t>
  </si>
  <si>
    <t>Books</t>
  </si>
  <si>
    <t>Music Lessons</t>
  </si>
  <si>
    <t>CHARITY/GIFTS</t>
  </si>
  <si>
    <t>Gifts Given</t>
  </si>
  <si>
    <t>Couple Charity</t>
  </si>
  <si>
    <t>Mother Charity</t>
  </si>
  <si>
    <t>OBLIGATIONS</t>
  </si>
  <si>
    <t>Credit Card Debt</t>
  </si>
  <si>
    <t>Punjab ST on CC Fee @16</t>
  </si>
  <si>
    <t>Advance Tax 5%</t>
  </si>
  <si>
    <t>ENTERTAINMENT</t>
  </si>
  <si>
    <t>Activities</t>
  </si>
  <si>
    <t>Games</t>
  </si>
  <si>
    <t>Fun Stuff</t>
  </si>
  <si>
    <t>Hobbies</t>
  </si>
  <si>
    <t>Media</t>
  </si>
  <si>
    <t>Outdoor Recreation</t>
  </si>
  <si>
    <t>Sports</t>
  </si>
  <si>
    <t>Toys/Gadgets</t>
  </si>
  <si>
    <t>Vacation/Travel</t>
  </si>
  <si>
    <t>SUBSCRIPTIONS</t>
  </si>
  <si>
    <t>Netflix</t>
  </si>
  <si>
    <t>Medium</t>
  </si>
  <si>
    <t>Youtube</t>
  </si>
  <si>
    <t>Google One</t>
  </si>
  <si>
    <t>Hetzner VM</t>
  </si>
  <si>
    <t>Claude/ChatGPT/Gemini -AI</t>
  </si>
  <si>
    <t>VACATION</t>
  </si>
  <si>
    <t>Travel</t>
  </si>
  <si>
    <t>Lodging</t>
  </si>
  <si>
    <t>Rental Car</t>
  </si>
  <si>
    <t>Entertainment</t>
  </si>
  <si>
    <t>MISCELLANEOUS</t>
  </si>
  <si>
    <t>Bank Fees</t>
  </si>
  <si>
    <t>Postage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</si>
</sst>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_(* #,##0.00_);_(* \(#,##0.00\);_(* \-??_);_(@_)"/>
    <numFmt numFmtId="178" formatCode="#,##0_);[Red]\(#,##0\)"/>
    <numFmt numFmtId="179" formatCode="#,##0.00_);[Red]\(#,##0.00\)"/>
    <numFmt numFmtId="180" formatCode="0.0%"/>
    <numFmt numFmtId="181" formatCode="0.00_ "/>
  </numFmts>
  <fonts count="68">
    <font>
      <sz val="11"/>
      <color theme="1"/>
      <name val="Trebuchet MS"/>
      <charset val="134"/>
      <scheme val="minor"/>
    </font>
    <font>
      <b/>
      <sz val="10"/>
      <color theme="0"/>
      <name val="Arial"/>
      <charset val="134"/>
    </font>
    <font>
      <b/>
      <sz val="15"/>
      <name val="Arial"/>
      <charset val="134"/>
    </font>
    <font>
      <b/>
      <sz val="10"/>
      <color theme="1"/>
      <name val="Trebuchet MS"/>
      <charset val="134"/>
    </font>
    <font>
      <sz val="11"/>
      <name val="Arial"/>
      <charset val="134"/>
    </font>
    <font>
      <b/>
      <sz val="11"/>
      <name val="Arial"/>
      <charset val="134"/>
    </font>
    <font>
      <sz val="9"/>
      <name val="Trebuchet MS"/>
      <charset val="134"/>
    </font>
    <font>
      <b/>
      <sz val="11"/>
      <color theme="0"/>
      <name val="Arial"/>
      <charset val="134"/>
    </font>
    <font>
      <b/>
      <sz val="11"/>
      <color theme="1"/>
      <name val="Trebuchet MS"/>
      <charset val="134"/>
    </font>
    <font>
      <sz val="2"/>
      <color theme="0"/>
      <name val="Trebuchet MS"/>
      <charset val="134"/>
    </font>
    <font>
      <sz val="9"/>
      <color theme="0"/>
      <name val="Trebuchet MS"/>
      <charset val="134"/>
    </font>
    <font>
      <b/>
      <sz val="20"/>
      <name val="Arial"/>
      <charset val="134"/>
    </font>
    <font>
      <sz val="16"/>
      <name val="Arial"/>
      <charset val="134"/>
    </font>
    <font>
      <b/>
      <sz val="16"/>
      <name val="Arial"/>
      <charset val="134"/>
    </font>
    <font>
      <sz val="11"/>
      <name val="Trebuchet MS"/>
      <charset val="134"/>
    </font>
    <font>
      <b/>
      <sz val="11"/>
      <name val="Trebuchet MS"/>
      <charset val="134"/>
    </font>
    <font>
      <sz val="10"/>
      <name val="Arial"/>
      <charset val="134"/>
    </font>
    <font>
      <b/>
      <sz val="10"/>
      <name val="Arial"/>
      <charset val="134"/>
    </font>
    <font>
      <sz val="10"/>
      <color theme="1"/>
      <name val="Trebuchet MS"/>
      <charset val="134"/>
    </font>
    <font>
      <i/>
      <sz val="10"/>
      <color theme="1"/>
      <name val="Trebuchet MS"/>
      <charset val="134"/>
    </font>
    <font>
      <sz val="10"/>
      <color theme="1"/>
      <name val="Arial"/>
      <charset val="134"/>
    </font>
    <font>
      <sz val="11"/>
      <color theme="0"/>
      <name val="Trebuchet MS"/>
      <charset val="134"/>
    </font>
    <font>
      <sz val="30"/>
      <color theme="1"/>
      <name val="Trebuchet MS"/>
      <charset val="134"/>
    </font>
    <font>
      <sz val="10"/>
      <name val="Trebuchet MS"/>
      <charset val="134"/>
    </font>
    <font>
      <sz val="8"/>
      <name val="Trebuchet MS"/>
      <charset val="134"/>
    </font>
    <font>
      <b/>
      <i/>
      <u/>
      <sz val="11"/>
      <name val="Trebuchet MS"/>
      <charset val="134"/>
    </font>
    <font>
      <sz val="11"/>
      <color rgb="FF00B0F0"/>
      <name val="Trebuchet MS"/>
      <charset val="134"/>
    </font>
    <font>
      <b/>
      <sz val="18"/>
      <color theme="4" tint="-0.25"/>
      <name val="Arial"/>
      <charset val="134"/>
    </font>
    <font>
      <b/>
      <sz val="18"/>
      <color rgb="FF3B4E87"/>
      <name val="Trebuchet MS"/>
      <charset val="134"/>
    </font>
    <font>
      <b/>
      <sz val="18"/>
      <name val="Trebuchet MS"/>
      <charset val="134"/>
    </font>
    <font>
      <b/>
      <sz val="14"/>
      <name val="Trebuchet MS"/>
      <charset val="134"/>
    </font>
    <font>
      <u/>
      <sz val="8"/>
      <color rgb="FF0000FF"/>
      <name val="Trebuchet MS"/>
      <charset val="134"/>
    </font>
    <font>
      <sz val="8"/>
      <color theme="0" tint="-0.5"/>
      <name val="Arial"/>
      <charset val="134"/>
    </font>
    <font>
      <sz val="20"/>
      <name val="Trebuchet MS"/>
      <charset val="134"/>
    </font>
    <font>
      <i/>
      <sz val="10"/>
      <name val="Trebuchet MS"/>
      <charset val="134"/>
    </font>
    <font>
      <b/>
      <sz val="10"/>
      <name val="Trebuchet MS"/>
      <charset val="134"/>
    </font>
    <font>
      <u/>
      <sz val="9"/>
      <color theme="1" tint="0.3499"/>
      <name val="Arial"/>
      <charset val="134"/>
    </font>
    <font>
      <sz val="11"/>
      <color rgb="FFFFFFFF"/>
      <name val="Cambria"/>
      <charset val="1"/>
    </font>
    <font>
      <b/>
      <i/>
      <sz val="15"/>
      <color theme="0"/>
      <name val="Trebuchet MS"/>
      <charset val="134"/>
    </font>
    <font>
      <b/>
      <sz val="11"/>
      <color rgb="FFFFFFFF"/>
      <name val="Arial"/>
      <charset val="134"/>
    </font>
    <font>
      <b/>
      <i/>
      <u/>
      <sz val="10"/>
      <color rgb="FFFFFFFF"/>
      <name val="Arial"/>
      <charset val="134"/>
    </font>
    <font>
      <b/>
      <i/>
      <u/>
      <sz val="11"/>
      <color rgb="FFFFFFFF"/>
      <name val="Arial"/>
      <charset val="134"/>
    </font>
    <font>
      <b/>
      <i/>
      <sz val="10"/>
      <name val="Arial"/>
      <charset val="134"/>
    </font>
    <font>
      <b/>
      <u/>
      <sz val="10"/>
      <name val="Arial"/>
      <charset val="134"/>
    </font>
    <font>
      <b/>
      <i/>
      <u/>
      <sz val="10"/>
      <name val="Arial"/>
      <charset val="134"/>
    </font>
    <font>
      <b/>
      <sz val="9"/>
      <name val="Trebuchet MS"/>
      <charset val="134"/>
    </font>
    <font>
      <b/>
      <sz val="10"/>
      <color theme="0"/>
      <name val="Trebuchet MS"/>
      <charset val="134"/>
    </font>
    <font>
      <b/>
      <sz val="9"/>
      <color theme="0"/>
      <name val="Trebuchet MS"/>
      <charset val="134"/>
    </font>
    <font>
      <u/>
      <sz val="11"/>
      <color rgb="FF0000FF"/>
      <name val="Trebuchet MS"/>
      <charset val="0"/>
      <scheme val="minor"/>
    </font>
    <font>
      <u/>
      <sz val="11"/>
      <color rgb="FF800080"/>
      <name val="Trebuchet MS"/>
      <charset val="0"/>
      <scheme val="minor"/>
    </font>
    <font>
      <sz val="11"/>
      <color rgb="FFFF0000"/>
      <name val="Trebuchet MS"/>
      <charset val="0"/>
      <scheme val="minor"/>
    </font>
    <font>
      <b/>
      <sz val="18"/>
      <color theme="3"/>
      <name val="Trebuchet MS"/>
      <charset val="134"/>
      <scheme val="minor"/>
    </font>
    <font>
      <i/>
      <sz val="11"/>
      <color rgb="FF7F7F7F"/>
      <name val="Trebuchet MS"/>
      <charset val="0"/>
      <scheme val="minor"/>
    </font>
    <font>
      <b/>
      <sz val="15"/>
      <color theme="3"/>
      <name val="Trebuchet MS"/>
      <charset val="134"/>
      <scheme val="minor"/>
    </font>
    <font>
      <b/>
      <sz val="13"/>
      <color theme="3"/>
      <name val="Trebuchet MS"/>
      <charset val="134"/>
      <scheme val="minor"/>
    </font>
    <font>
      <b/>
      <sz val="11"/>
      <color theme="3"/>
      <name val="Trebuchet MS"/>
      <charset val="134"/>
      <scheme val="minor"/>
    </font>
    <font>
      <sz val="11"/>
      <color rgb="FF3F3F76"/>
      <name val="Trebuchet MS"/>
      <charset val="0"/>
      <scheme val="minor"/>
    </font>
    <font>
      <b/>
      <sz val="11"/>
      <color rgb="FF3F3F3F"/>
      <name val="Trebuchet MS"/>
      <charset val="0"/>
      <scheme val="minor"/>
    </font>
    <font>
      <b/>
      <sz val="11"/>
      <color rgb="FFFA7D00"/>
      <name val="Trebuchet MS"/>
      <charset val="0"/>
      <scheme val="minor"/>
    </font>
    <font>
      <b/>
      <sz val="11"/>
      <color rgb="FFFFFFFF"/>
      <name val="Trebuchet MS"/>
      <charset val="0"/>
      <scheme val="minor"/>
    </font>
    <font>
      <sz val="11"/>
      <color rgb="FFFA7D00"/>
      <name val="Trebuchet MS"/>
      <charset val="0"/>
      <scheme val="minor"/>
    </font>
    <font>
      <b/>
      <sz val="11"/>
      <color theme="1"/>
      <name val="Trebuchet MS"/>
      <charset val="0"/>
      <scheme val="minor"/>
    </font>
    <font>
      <sz val="11"/>
      <color rgb="FF006100"/>
      <name val="Trebuchet MS"/>
      <charset val="0"/>
      <scheme val="minor"/>
    </font>
    <font>
      <sz val="11"/>
      <color rgb="FF9C0006"/>
      <name val="Trebuchet MS"/>
      <charset val="0"/>
      <scheme val="minor"/>
    </font>
    <font>
      <sz val="11"/>
      <color rgb="FF9C6500"/>
      <name val="Trebuchet MS"/>
      <charset val="0"/>
      <scheme val="minor"/>
    </font>
    <font>
      <sz val="11"/>
      <color theme="0"/>
      <name val="Trebuchet MS"/>
      <charset val="0"/>
      <scheme val="minor"/>
    </font>
    <font>
      <sz val="11"/>
      <color theme="1"/>
      <name val="Trebuchet MS"/>
      <charset val="0"/>
      <scheme val="minor"/>
    </font>
    <font>
      <sz val="10"/>
      <name val="SimSun"/>
      <charset val="134"/>
    </font>
  </fonts>
  <fills count="54">
    <fill>
      <patternFill patternType="none"/>
    </fill>
    <fill>
      <patternFill patternType="gray125"/>
    </fill>
    <fill>
      <patternFill patternType="solid">
        <fgColor theme="6" tint="-0.25"/>
        <bgColor rgb="FF176617"/>
      </patternFill>
    </fill>
    <fill>
      <patternFill patternType="solid">
        <fgColor theme="6" tint="0.7999"/>
        <bgColor rgb="FFD4DEEF"/>
      </patternFill>
    </fill>
    <fill>
      <patternFill patternType="solid">
        <fgColor theme="0" tint="-0.05"/>
        <bgColor rgb="FFF4F4F4"/>
      </patternFill>
    </fill>
    <fill>
      <patternFill patternType="solid">
        <fgColor theme="4" tint="-0.25"/>
        <bgColor rgb="FF2B4675"/>
      </patternFill>
    </fill>
    <fill>
      <patternFill patternType="solid">
        <fgColor theme="4" tint="0.7999"/>
        <bgColor rgb="FFD9D9D9"/>
      </patternFill>
    </fill>
    <fill>
      <patternFill patternType="solid">
        <fgColor rgb="FFF4F4F4"/>
        <bgColor rgb="FFF2F2F2"/>
      </patternFill>
    </fill>
    <fill>
      <patternFill patternType="solid">
        <fgColor theme="8"/>
        <bgColor rgb="FFF0B57A"/>
      </patternFill>
    </fill>
    <fill>
      <patternFill patternType="solid">
        <fgColor theme="8" tint="0.4"/>
        <bgColor rgb="FFFF99CC"/>
      </patternFill>
    </fill>
    <fill>
      <patternFill patternType="solid">
        <fgColor rgb="FFFFC000"/>
        <bgColor rgb="FFF0B57A"/>
      </patternFill>
    </fill>
    <fill>
      <patternFill patternType="solid">
        <fgColor theme="5"/>
        <bgColor rgb="FF846648"/>
      </patternFill>
    </fill>
    <fill>
      <patternFill patternType="solid">
        <fgColor theme="2" tint="-0.5"/>
        <bgColor rgb="FF878787"/>
      </patternFill>
    </fill>
    <fill>
      <patternFill patternType="solid">
        <fgColor rgb="FF00B050"/>
        <bgColor rgb="FF22A922"/>
      </patternFill>
    </fill>
    <fill>
      <patternFill patternType="solid">
        <fgColor theme="7"/>
        <bgColor rgb="FF7F7F7F"/>
      </patternFill>
    </fill>
    <fill>
      <patternFill patternType="solid">
        <fgColor rgb="FFED214A"/>
        <bgColor rgb="FFFF0000"/>
      </patternFill>
    </fill>
    <fill>
      <patternFill patternType="solid">
        <fgColor theme="1" tint="0.4999"/>
        <bgColor rgb="FF808080"/>
      </patternFill>
    </fill>
    <fill>
      <patternFill patternType="solid">
        <fgColor theme="3"/>
        <bgColor rgb="FF878787"/>
      </patternFill>
    </fill>
    <fill>
      <patternFill patternType="solid">
        <fgColor theme="6"/>
        <bgColor rgb="FF22A922"/>
      </patternFill>
    </fill>
    <fill>
      <patternFill patternType="solid">
        <fgColor theme="0" tint="-0.25"/>
        <bgColor rgb="FFC0C0C0"/>
      </patternFill>
    </fill>
    <fill>
      <patternFill patternType="solid">
        <fgColor rgb="FFFFFF00"/>
        <bgColor rgb="FFFFFF00"/>
      </patternFill>
    </fill>
    <fill>
      <patternFill patternType="solid">
        <fgColor theme="0" tint="-0.15"/>
        <bgColor rgb="FFD4DEEF"/>
      </patternFill>
    </fill>
    <fill>
      <patternFill patternType="solid">
        <fgColor theme="6" tint="-0.5"/>
        <bgColor rgb="FF17661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right/>
      <top/>
      <bottom style="thin">
        <color theme="0" tint="-0.25"/>
      </bottom>
      <diagonal/>
    </border>
    <border>
      <left/>
      <right/>
      <top style="thin">
        <color theme="0" tint="-0.25"/>
      </top>
      <bottom/>
      <diagonal/>
    </border>
    <border>
      <left/>
      <right/>
      <top style="double">
        <color theme="6"/>
      </top>
      <bottom/>
      <diagonal/>
    </border>
    <border>
      <left/>
      <right/>
      <top style="double">
        <color theme="4"/>
      </top>
      <bottom/>
      <diagonal/>
    </border>
    <border>
      <left style="thin">
        <color theme="0" tint="-0.15"/>
      </left>
      <right/>
      <top style="thin">
        <color theme="0" tint="-0.25"/>
      </top>
      <bottom/>
      <diagonal/>
    </border>
    <border>
      <left style="thin">
        <color rgb="FFC0C0C0"/>
      </left>
      <right style="thin">
        <color rgb="FFC0C0C0"/>
      </right>
      <top style="thin">
        <color rgb="FFC0C0C0"/>
      </top>
      <bottom style="thin">
        <color rgb="FFC0C0C0"/>
      </bottom>
      <diagonal/>
    </border>
    <border>
      <left style="medium">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23" borderId="11"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12" applyNumberFormat="0" applyFill="0" applyAlignment="0" applyProtection="0">
      <alignment vertical="center"/>
    </xf>
    <xf numFmtId="0" fontId="54" fillId="0" borderId="12" applyNumberFormat="0" applyFill="0" applyAlignment="0" applyProtection="0">
      <alignment vertical="center"/>
    </xf>
    <xf numFmtId="0" fontId="55" fillId="0" borderId="13" applyNumberFormat="0" applyFill="0" applyAlignment="0" applyProtection="0">
      <alignment vertical="center"/>
    </xf>
    <xf numFmtId="0" fontId="55" fillId="0" borderId="0" applyNumberFormat="0" applyFill="0" applyBorder="0" applyAlignment="0" applyProtection="0">
      <alignment vertical="center"/>
    </xf>
    <xf numFmtId="0" fontId="56" fillId="24" borderId="14" applyNumberFormat="0" applyAlignment="0" applyProtection="0">
      <alignment vertical="center"/>
    </xf>
    <xf numFmtId="0" fontId="57" fillId="25" borderId="15" applyNumberFormat="0" applyAlignment="0" applyProtection="0">
      <alignment vertical="center"/>
    </xf>
    <xf numFmtId="0" fontId="58" fillId="25" borderId="14" applyNumberFormat="0" applyAlignment="0" applyProtection="0">
      <alignment vertical="center"/>
    </xf>
    <xf numFmtId="0" fontId="59" fillId="26" borderId="16" applyNumberFormat="0" applyAlignment="0" applyProtection="0">
      <alignment vertical="center"/>
    </xf>
    <xf numFmtId="0" fontId="60" fillId="0" borderId="17" applyNumberFormat="0" applyFill="0" applyAlignment="0" applyProtection="0">
      <alignment vertical="center"/>
    </xf>
    <xf numFmtId="0" fontId="61" fillId="0" borderId="18" applyNumberFormat="0" applyFill="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33" borderId="0" applyNumberFormat="0" applyBorder="0" applyAlignment="0" applyProtection="0">
      <alignment vertical="center"/>
    </xf>
    <xf numFmtId="0" fontId="65" fillId="34" borderId="0" applyNumberFormat="0" applyBorder="0" applyAlignment="0" applyProtection="0">
      <alignment vertical="center"/>
    </xf>
    <xf numFmtId="0" fontId="66" fillId="35" borderId="0" applyNumberFormat="0" applyBorder="0" applyAlignment="0" applyProtection="0">
      <alignment vertical="center"/>
    </xf>
    <xf numFmtId="0" fontId="66" fillId="36" borderId="0" applyNumberFormat="0" applyBorder="0" applyAlignment="0" applyProtection="0">
      <alignment vertical="center"/>
    </xf>
    <xf numFmtId="0" fontId="65" fillId="37" borderId="0" applyNumberFormat="0" applyBorder="0" applyAlignment="0" applyProtection="0">
      <alignment vertical="center"/>
    </xf>
    <xf numFmtId="0" fontId="65" fillId="38" borderId="0" applyNumberFormat="0" applyBorder="0" applyAlignment="0" applyProtection="0">
      <alignment vertical="center"/>
    </xf>
    <xf numFmtId="0" fontId="66" fillId="39" borderId="0" applyNumberFormat="0" applyBorder="0" applyAlignment="0" applyProtection="0">
      <alignment vertical="center"/>
    </xf>
    <xf numFmtId="0" fontId="66" fillId="40" borderId="0" applyNumberFormat="0" applyBorder="0" applyAlignment="0" applyProtection="0">
      <alignment vertical="center"/>
    </xf>
    <xf numFmtId="0" fontId="65" fillId="41" borderId="0" applyNumberFormat="0" applyBorder="0" applyAlignment="0" applyProtection="0">
      <alignment vertical="center"/>
    </xf>
    <xf numFmtId="0" fontId="65" fillId="42" borderId="0" applyNumberFormat="0" applyBorder="0" applyAlignment="0" applyProtection="0">
      <alignment vertical="center"/>
    </xf>
    <xf numFmtId="0" fontId="66" fillId="43" borderId="0" applyNumberFormat="0" applyBorder="0" applyAlignment="0" applyProtection="0">
      <alignment vertical="center"/>
    </xf>
    <xf numFmtId="0" fontId="66" fillId="44" borderId="0" applyNumberFormat="0" applyBorder="0" applyAlignment="0" applyProtection="0">
      <alignment vertical="center"/>
    </xf>
    <xf numFmtId="0" fontId="65" fillId="45" borderId="0" applyNumberFormat="0" applyBorder="0" applyAlignment="0" applyProtection="0">
      <alignment vertical="center"/>
    </xf>
    <xf numFmtId="0" fontId="65" fillId="46" borderId="0" applyNumberFormat="0" applyBorder="0" applyAlignment="0" applyProtection="0">
      <alignment vertical="center"/>
    </xf>
    <xf numFmtId="0" fontId="66" fillId="47" borderId="0" applyNumberFormat="0" applyBorder="0" applyAlignment="0" applyProtection="0">
      <alignment vertical="center"/>
    </xf>
    <xf numFmtId="0" fontId="66" fillId="48" borderId="0" applyNumberFormat="0" applyBorder="0" applyAlignment="0" applyProtection="0">
      <alignment vertical="center"/>
    </xf>
    <xf numFmtId="0" fontId="65" fillId="49" borderId="0" applyNumberFormat="0" applyBorder="0" applyAlignment="0" applyProtection="0">
      <alignment vertical="center"/>
    </xf>
    <xf numFmtId="0" fontId="65" fillId="50" borderId="0" applyNumberFormat="0" applyBorder="0" applyAlignment="0" applyProtection="0">
      <alignment vertical="center"/>
    </xf>
    <xf numFmtId="0" fontId="66" fillId="51" borderId="0" applyNumberFormat="0" applyBorder="0" applyAlignment="0" applyProtection="0">
      <alignment vertical="center"/>
    </xf>
    <xf numFmtId="0" fontId="66" fillId="52" borderId="0" applyNumberFormat="0" applyBorder="0" applyAlignment="0" applyProtection="0">
      <alignment vertical="center"/>
    </xf>
    <xf numFmtId="0" fontId="65" fillId="53" borderId="0" applyNumberFormat="0" applyBorder="0" applyAlignment="0" applyProtection="0">
      <alignment vertical="center"/>
    </xf>
  </cellStyleXfs>
  <cellXfs count="128">
    <xf numFmtId="0" fontId="0" fillId="0" borderId="0" xfId="0"/>
    <xf numFmtId="0" fontId="1" fillId="2" borderId="1" xfId="0" applyFont="1" applyFill="1" applyBorder="1" applyAlignment="1">
      <alignment horizontal="center" vertical="center" shrinkToFit="1"/>
    </xf>
    <xf numFmtId="0" fontId="2" fillId="0" borderId="0" xfId="0" applyFont="1"/>
    <xf numFmtId="0" fontId="3" fillId="3" borderId="2" xfId="0" applyFont="1" applyFill="1" applyBorder="1" applyAlignment="1">
      <alignment vertical="center" shrinkToFit="1"/>
    </xf>
    <xf numFmtId="0" fontId="4" fillId="0" borderId="0" xfId="0" applyFont="1"/>
    <xf numFmtId="176" fontId="5" fillId="0" borderId="0" xfId="0" applyNumberFormat="1" applyFont="1" applyAlignment="1">
      <alignment horizontal="center" vertical="center"/>
    </xf>
    <xf numFmtId="0" fontId="3" fillId="4" borderId="3" xfId="0" applyFont="1" applyFill="1" applyBorder="1" applyAlignment="1">
      <alignment horizontal="right" shrinkToFit="1"/>
    </xf>
    <xf numFmtId="0" fontId="6" fillId="0" borderId="0" xfId="0" applyFont="1" applyAlignment="1">
      <alignment vertical="center" shrinkToFit="1"/>
    </xf>
    <xf numFmtId="0" fontId="7" fillId="5" borderId="1" xfId="0" applyFont="1" applyFill="1" applyBorder="1" applyAlignment="1">
      <alignment horizontal="center" vertical="center" shrinkToFit="1"/>
    </xf>
    <xf numFmtId="0" fontId="8" fillId="6" borderId="2" xfId="0" applyFont="1" applyFill="1" applyBorder="1" applyAlignment="1">
      <alignment vertical="center" shrinkToFit="1"/>
    </xf>
    <xf numFmtId="0" fontId="3" fillId="4" borderId="4" xfId="0" applyFont="1" applyFill="1" applyBorder="1" applyAlignment="1">
      <alignment horizontal="right" shrinkToFit="1"/>
    </xf>
    <xf numFmtId="0" fontId="6" fillId="7" borderId="0" xfId="0" applyFont="1" applyFill="1" applyAlignment="1">
      <alignment horizontal="right" shrinkToFit="1"/>
    </xf>
    <xf numFmtId="0" fontId="1" fillId="5" borderId="1" xfId="0" applyFont="1" applyFill="1" applyBorder="1" applyAlignment="1">
      <alignment horizontal="center" vertical="center" shrinkToFit="1"/>
    </xf>
    <xf numFmtId="0" fontId="3" fillId="6" borderId="2" xfId="0" applyFont="1" applyFill="1" applyBorder="1" applyAlignment="1">
      <alignment vertical="center" shrinkToFit="1"/>
    </xf>
    <xf numFmtId="0" fontId="1" fillId="8" borderId="1" xfId="0" applyFont="1" applyFill="1" applyBorder="1" applyAlignment="1">
      <alignment horizontal="center" vertical="center" shrinkToFit="1"/>
    </xf>
    <xf numFmtId="0" fontId="8" fillId="9" borderId="2" xfId="0" applyFont="1" applyFill="1" applyBorder="1" applyAlignment="1">
      <alignment vertical="center" shrinkToFit="1"/>
    </xf>
    <xf numFmtId="0" fontId="6" fillId="7" borderId="0" xfId="0" applyFont="1" applyFill="1" applyAlignment="1">
      <alignment horizontal="right" vertical="center" shrinkToFit="1"/>
    </xf>
    <xf numFmtId="0" fontId="9" fillId="0" borderId="0" xfId="0" applyFont="1" applyAlignment="1">
      <alignment horizontal="right" vertical="center" shrinkToFit="1"/>
    </xf>
    <xf numFmtId="0" fontId="10" fillId="0" borderId="0" xfId="0" applyFont="1" applyAlignment="1">
      <alignment horizontal="right" vertical="center" shrinkToFit="1"/>
    </xf>
    <xf numFmtId="0" fontId="11" fillId="0" borderId="0" xfId="0" applyFont="1"/>
    <xf numFmtId="0" fontId="12" fillId="0" borderId="0" xfId="0" applyFont="1"/>
    <xf numFmtId="0" fontId="13" fillId="0" borderId="0" xfId="0" applyFont="1" applyAlignment="1">
      <alignment horizontal="center"/>
    </xf>
    <xf numFmtId="0" fontId="14" fillId="0" borderId="0" xfId="0" applyFont="1" applyAlignment="1">
      <alignment vertical="center"/>
    </xf>
    <xf numFmtId="176" fontId="2" fillId="0" borderId="0" xfId="0" applyNumberFormat="1" applyFont="1"/>
    <xf numFmtId="0" fontId="5" fillId="10" borderId="0" xfId="0" applyFont="1" applyFill="1" applyAlignment="1">
      <alignment horizontal="center" vertical="center"/>
    </xf>
    <xf numFmtId="176" fontId="5" fillId="10" borderId="0" xfId="0" applyNumberFormat="1" applyFont="1" applyFill="1" applyAlignment="1">
      <alignment horizontal="center" vertical="center"/>
    </xf>
    <xf numFmtId="0" fontId="15" fillId="11" borderId="4" xfId="0" applyFont="1" applyFill="1" applyBorder="1" applyAlignment="1">
      <alignment horizontal="right" shrinkToFit="1"/>
    </xf>
    <xf numFmtId="0" fontId="14" fillId="0" borderId="0" xfId="0" applyFont="1" applyAlignment="1">
      <alignment vertical="center" shrinkToFit="1"/>
    </xf>
    <xf numFmtId="0" fontId="6" fillId="0" borderId="0" xfId="0" applyFont="1" applyAlignment="1">
      <alignment vertical="center"/>
    </xf>
    <xf numFmtId="177" fontId="16" fillId="0" borderId="0" xfId="0" applyNumberFormat="1" applyFont="1" applyAlignment="1">
      <alignment horizontal="center" vertical="center"/>
    </xf>
    <xf numFmtId="177" fontId="17" fillId="0" borderId="0" xfId="0" applyNumberFormat="1" applyFont="1" applyAlignment="1">
      <alignment horizontal="center" vertical="center"/>
    </xf>
    <xf numFmtId="3" fontId="18" fillId="4" borderId="5" xfId="0" applyNumberFormat="1" applyFont="1" applyFill="1" applyBorder="1" applyAlignment="1">
      <alignment vertical="center"/>
    </xf>
    <xf numFmtId="3" fontId="18" fillId="4" borderId="3" xfId="0" applyNumberFormat="1" applyFont="1" applyFill="1" applyBorder="1"/>
    <xf numFmtId="0" fontId="7" fillId="0" borderId="0" xfId="0" applyFont="1" applyAlignment="1">
      <alignment horizontal="center" vertical="center" shrinkToFit="1"/>
    </xf>
    <xf numFmtId="177" fontId="1" fillId="0" borderId="0" xfId="0" applyNumberFormat="1" applyFont="1" applyAlignment="1">
      <alignment horizontal="center" vertical="center"/>
    </xf>
    <xf numFmtId="0" fontId="7" fillId="8" borderId="1" xfId="0" applyFont="1" applyFill="1" applyBorder="1" applyAlignment="1">
      <alignment horizontal="center" vertical="center" shrinkToFit="1"/>
    </xf>
    <xf numFmtId="177" fontId="1" fillId="8" borderId="1" xfId="0" applyNumberFormat="1" applyFont="1" applyFill="1" applyBorder="1" applyAlignment="1">
      <alignment horizontal="center" vertical="center"/>
    </xf>
    <xf numFmtId="3" fontId="18" fillId="0" borderId="5" xfId="0" applyNumberFormat="1" applyFont="1" applyBorder="1" applyAlignment="1">
      <alignment vertical="center"/>
    </xf>
    <xf numFmtId="0" fontId="8" fillId="4" borderId="4" xfId="0" applyFont="1" applyFill="1" applyBorder="1" applyAlignment="1">
      <alignment horizontal="right" shrinkToFit="1"/>
    </xf>
    <xf numFmtId="3" fontId="18" fillId="4" borderId="4" xfId="0" applyNumberFormat="1" applyFont="1" applyFill="1" applyBorder="1"/>
    <xf numFmtId="177" fontId="1" fillId="5" borderId="1" xfId="0" applyNumberFormat="1" applyFont="1" applyFill="1" applyBorder="1" applyAlignment="1">
      <alignment horizontal="center" vertical="center"/>
    </xf>
    <xf numFmtId="3" fontId="19" fillId="0" borderId="5" xfId="0" applyNumberFormat="1" applyFont="1" applyBorder="1" applyAlignment="1">
      <alignment vertical="center"/>
    </xf>
    <xf numFmtId="3" fontId="20" fillId="4" borderId="4" xfId="0" applyNumberFormat="1" applyFont="1" applyFill="1" applyBorder="1"/>
    <xf numFmtId="0" fontId="6" fillId="0" borderId="0" xfId="0" applyFont="1" applyAlignment="1">
      <alignment horizontal="right" vertical="center"/>
    </xf>
    <xf numFmtId="0" fontId="5" fillId="0" borderId="0" xfId="0" applyFont="1"/>
    <xf numFmtId="0" fontId="21" fillId="0" borderId="0" xfId="0" applyFont="1" applyAlignment="1">
      <alignment horizontal="right" vertical="center" shrinkToFit="1"/>
    </xf>
    <xf numFmtId="3" fontId="18" fillId="0" borderId="0" xfId="0" applyNumberFormat="1" applyFont="1" applyAlignment="1">
      <alignment vertical="center"/>
    </xf>
    <xf numFmtId="3" fontId="22" fillId="12" borderId="0" xfId="0" applyNumberFormat="1" applyFont="1" applyFill="1" applyAlignment="1">
      <alignment horizontal="center" vertical="center"/>
    </xf>
    <xf numFmtId="0" fontId="5" fillId="13" borderId="0" xfId="0" applyFont="1" applyFill="1"/>
    <xf numFmtId="178" fontId="5" fillId="13" borderId="0" xfId="0" applyNumberFormat="1" applyFont="1" applyFill="1"/>
    <xf numFmtId="0" fontId="4" fillId="0" borderId="0" xfId="0" applyFont="1" applyAlignment="1">
      <alignment horizontal="right" wrapText="1"/>
    </xf>
    <xf numFmtId="179" fontId="4" fillId="0" borderId="0" xfId="0" applyNumberFormat="1" applyFont="1"/>
    <xf numFmtId="3" fontId="18" fillId="0" borderId="0" xfId="0" applyNumberFormat="1" applyFont="1"/>
    <xf numFmtId="180" fontId="6" fillId="0" borderId="0" xfId="0" applyNumberFormat="1" applyFont="1" applyAlignment="1">
      <alignment horizontal="right"/>
    </xf>
    <xf numFmtId="178" fontId="4" fillId="0" borderId="0" xfId="0" applyNumberFormat="1" applyFont="1"/>
    <xf numFmtId="0" fontId="7" fillId="14" borderId="0" xfId="0" applyFont="1" applyFill="1"/>
    <xf numFmtId="178" fontId="7" fillId="14" borderId="0" xfId="0" applyNumberFormat="1" applyFont="1" applyFill="1"/>
    <xf numFmtId="0" fontId="7" fillId="0" borderId="0" xfId="0" applyFont="1"/>
    <xf numFmtId="178" fontId="7" fillId="0" borderId="0" xfId="0" applyNumberFormat="1" applyFont="1"/>
    <xf numFmtId="0" fontId="4" fillId="0" borderId="0" xfId="0" applyFont="1" applyAlignment="1">
      <alignment horizontal="right"/>
    </xf>
    <xf numFmtId="181" fontId="4" fillId="0" borderId="0" xfId="0" applyNumberFormat="1" applyFont="1" applyAlignment="1">
      <alignment horizontal="right"/>
    </xf>
    <xf numFmtId="3" fontId="4" fillId="0" borderId="0" xfId="0" applyNumberFormat="1" applyFont="1"/>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6" fillId="0" borderId="0" xfId="0" applyFont="1"/>
    <xf numFmtId="0" fontId="23" fillId="0" borderId="0" xfId="0" applyFont="1"/>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horizontal="left" vertical="center"/>
    </xf>
    <xf numFmtId="0" fontId="30" fillId="0" borderId="0" xfId="0" applyFont="1" applyAlignment="1">
      <alignment vertical="center"/>
    </xf>
    <xf numFmtId="0" fontId="31" fillId="0" borderId="0" xfId="0" applyFont="1"/>
    <xf numFmtId="0" fontId="32" fillId="0" borderId="0" xfId="0" applyFont="1" applyAlignment="1">
      <alignment horizontal="right"/>
    </xf>
    <xf numFmtId="178" fontId="33" fillId="0" borderId="6" xfId="0" applyNumberFormat="1" applyFont="1" applyBorder="1" applyAlignment="1">
      <alignment horizontal="center" vertical="center"/>
    </xf>
    <xf numFmtId="0" fontId="16" fillId="0" borderId="0" xfId="0" applyFont="1" applyAlignment="1">
      <alignment horizontal="right" vertical="center"/>
    </xf>
    <xf numFmtId="3" fontId="6" fillId="0" borderId="0" xfId="0" applyNumberFormat="1" applyFont="1" applyAlignment="1">
      <alignment vertical="center"/>
    </xf>
    <xf numFmtId="0" fontId="34" fillId="0" borderId="0" xfId="0" applyFont="1" applyAlignment="1">
      <alignment vertical="center"/>
    </xf>
    <xf numFmtId="0" fontId="35" fillId="0" borderId="0" xfId="0" applyFont="1" applyAlignment="1">
      <alignment horizontal="right" vertical="center"/>
    </xf>
    <xf numFmtId="0" fontId="36" fillId="0" borderId="0" xfId="0" applyFont="1" applyAlignment="1">
      <alignment horizontal="right"/>
    </xf>
    <xf numFmtId="0" fontId="17" fillId="0" borderId="0" xfId="0" applyFont="1" applyAlignment="1">
      <alignment horizontal="right" vertical="center"/>
    </xf>
    <xf numFmtId="0" fontId="37" fillId="0" borderId="0" xfId="0" applyFont="1" applyAlignment="1">
      <alignment vertical="center"/>
    </xf>
    <xf numFmtId="0" fontId="37" fillId="0" borderId="0" xfId="0" applyFont="1" applyAlignment="1">
      <alignment horizontal="right" vertical="center"/>
    </xf>
    <xf numFmtId="3" fontId="37" fillId="0" borderId="0" xfId="0" applyNumberFormat="1" applyFont="1" applyAlignment="1">
      <alignment vertical="center"/>
    </xf>
    <xf numFmtId="0" fontId="23" fillId="0" borderId="0" xfId="0" applyFont="1" applyAlignment="1">
      <alignment horizontal="right" vertical="center"/>
    </xf>
    <xf numFmtId="0" fontId="38" fillId="15" borderId="7" xfId="0" applyFont="1" applyFill="1" applyBorder="1" applyAlignment="1">
      <alignment horizontal="center" vertical="center"/>
    </xf>
    <xf numFmtId="0" fontId="39" fillId="16" borderId="0" xfId="0" applyFont="1" applyFill="1" applyAlignment="1">
      <alignment horizontal="center" vertical="center"/>
    </xf>
    <xf numFmtId="0" fontId="7" fillId="17" borderId="0" xfId="0" applyFont="1" applyFill="1" applyAlignment="1">
      <alignment horizontal="center" vertical="center"/>
    </xf>
    <xf numFmtId="178" fontId="40" fillId="18" borderId="0" xfId="0" applyNumberFormat="1" applyFont="1" applyFill="1" applyAlignment="1">
      <alignment horizontal="center" vertical="center"/>
    </xf>
    <xf numFmtId="178" fontId="40" fillId="18" borderId="0" xfId="0" applyNumberFormat="1" applyFont="1" applyFill="1" applyAlignment="1">
      <alignment horizontal="right" vertical="center"/>
    </xf>
    <xf numFmtId="178" fontId="41" fillId="18" borderId="0" xfId="0" applyNumberFormat="1" applyFont="1" applyFill="1" applyAlignment="1">
      <alignment horizontal="right" vertical="center"/>
    </xf>
    <xf numFmtId="178" fontId="17" fillId="10" borderId="0" xfId="0" applyNumberFormat="1" applyFont="1" applyFill="1" applyAlignment="1">
      <alignment horizontal="center" vertical="center"/>
    </xf>
    <xf numFmtId="178" fontId="17" fillId="10" borderId="0" xfId="0" applyNumberFormat="1" applyFont="1" applyFill="1" applyAlignment="1">
      <alignment horizontal="right" vertical="center"/>
    </xf>
    <xf numFmtId="178" fontId="42" fillId="10" borderId="0" xfId="0" applyNumberFormat="1" applyFont="1" applyFill="1" applyAlignment="1">
      <alignment horizontal="right" vertical="center"/>
    </xf>
    <xf numFmtId="178" fontId="5" fillId="10" borderId="0" xfId="0" applyNumberFormat="1" applyFont="1" applyFill="1" applyAlignment="1">
      <alignment horizontal="right" vertical="center"/>
    </xf>
    <xf numFmtId="178" fontId="1" fillId="17" borderId="0" xfId="0" applyNumberFormat="1" applyFont="1" applyFill="1" applyAlignment="1">
      <alignment horizontal="center" vertical="center"/>
    </xf>
    <xf numFmtId="178" fontId="17" fillId="19" borderId="0" xfId="0" applyNumberFormat="1" applyFont="1" applyFill="1" applyAlignment="1">
      <alignment horizontal="center" vertical="center"/>
    </xf>
    <xf numFmtId="178" fontId="43" fillId="19" borderId="0" xfId="0" applyNumberFormat="1" applyFont="1" applyFill="1" applyAlignment="1">
      <alignment horizontal="right" vertical="center"/>
    </xf>
    <xf numFmtId="178" fontId="44" fillId="19" borderId="0" xfId="0" applyNumberFormat="1" applyFont="1" applyFill="1" applyAlignment="1">
      <alignment horizontal="right" vertical="center"/>
    </xf>
    <xf numFmtId="178" fontId="5" fillId="19" borderId="0" xfId="0" applyNumberFormat="1" applyFont="1" applyFill="1" applyAlignment="1">
      <alignment horizontal="right" vertical="center"/>
    </xf>
    <xf numFmtId="178" fontId="17" fillId="19" borderId="0" xfId="0" applyNumberFormat="1" applyFont="1" applyFill="1" applyAlignment="1">
      <alignment horizontal="right" vertical="center"/>
    </xf>
    <xf numFmtId="178" fontId="17" fillId="0" borderId="0" xfId="0" applyNumberFormat="1" applyFont="1" applyAlignment="1">
      <alignment horizontal="center" vertical="center"/>
    </xf>
    <xf numFmtId="178" fontId="17" fillId="0" borderId="0" xfId="0" applyNumberFormat="1" applyFont="1" applyAlignment="1">
      <alignment horizontal="right" vertical="center"/>
    </xf>
    <xf numFmtId="178" fontId="5" fillId="0" borderId="0" xfId="0" applyNumberFormat="1" applyFont="1" applyAlignment="1">
      <alignment horizontal="right" vertical="center"/>
    </xf>
    <xf numFmtId="0" fontId="35" fillId="20" borderId="0" xfId="0" applyFont="1" applyFill="1" applyAlignment="1">
      <alignment horizontal="center" vertical="center"/>
    </xf>
    <xf numFmtId="178" fontId="45" fillId="20" borderId="0" xfId="0" applyNumberFormat="1" applyFont="1" applyFill="1" applyAlignment="1">
      <alignment horizontal="right" vertical="center"/>
    </xf>
    <xf numFmtId="0" fontId="46" fillId="17" borderId="0" xfId="0" applyFont="1" applyFill="1" applyAlignment="1">
      <alignment horizontal="center" vertical="center"/>
    </xf>
    <xf numFmtId="0" fontId="23" fillId="21" borderId="0" xfId="0" applyFont="1" applyFill="1" applyAlignment="1">
      <alignment horizontal="right" vertical="center"/>
    </xf>
    <xf numFmtId="3" fontId="6" fillId="21" borderId="0" xfId="0" applyNumberFormat="1" applyFont="1" applyFill="1" applyAlignment="1">
      <alignment horizontal="right" vertical="center"/>
    </xf>
    <xf numFmtId="0" fontId="23" fillId="21" borderId="8" xfId="0" applyFont="1" applyFill="1" applyBorder="1" applyAlignment="1">
      <alignment horizontal="right" vertical="center"/>
    </xf>
    <xf numFmtId="3" fontId="6" fillId="21" borderId="8" xfId="0" applyNumberFormat="1" applyFont="1" applyFill="1" applyBorder="1" applyAlignment="1">
      <alignment horizontal="right" vertical="center"/>
    </xf>
    <xf numFmtId="0" fontId="35" fillId="21" borderId="0" xfId="0" applyFont="1" applyFill="1" applyAlignment="1">
      <alignment horizontal="right" vertical="center"/>
    </xf>
    <xf numFmtId="178" fontId="45" fillId="21" borderId="0" xfId="0" applyNumberFormat="1" applyFont="1" applyFill="1" applyAlignment="1">
      <alignment horizontal="right" vertical="center"/>
    </xf>
    <xf numFmtId="0" fontId="35" fillId="20" borderId="0" xfId="0" applyFont="1" applyFill="1" applyAlignment="1">
      <alignment horizontal="right" vertical="center"/>
    </xf>
    <xf numFmtId="178" fontId="45" fillId="20" borderId="9" xfId="0" applyNumberFormat="1" applyFont="1" applyFill="1" applyBorder="1" applyAlignment="1">
      <alignment horizontal="right" vertical="center"/>
    </xf>
    <xf numFmtId="0" fontId="46" fillId="22" borderId="0" xfId="0" applyFont="1" applyFill="1" applyAlignment="1">
      <alignment horizontal="right" vertical="center"/>
    </xf>
    <xf numFmtId="178" fontId="47" fillId="22" borderId="10" xfId="0" applyNumberFormat="1" applyFont="1" applyFill="1" applyBorder="1" applyAlignment="1">
      <alignment horizontal="right" vertical="center"/>
    </xf>
    <xf numFmtId="178" fontId="47" fillId="22" borderId="0" xfId="0" applyNumberFormat="1" applyFont="1" applyFill="1" applyAlignment="1">
      <alignment horizontal="right" vertical="center"/>
    </xf>
    <xf numFmtId="177" fontId="1" fillId="2" borderId="1" xfId="0" applyNumberFormat="1" applyFont="1" applyFill="1" applyBorder="1" applyAlignment="1">
      <alignment horizontal="center" vertical="center"/>
    </xf>
    <xf numFmtId="0" fontId="35" fillId="0" borderId="0" xfId="0" applyFont="1" applyAlignment="1">
      <alignment vertical="center"/>
    </xf>
    <xf numFmtId="3" fontId="18" fillId="0" borderId="5" xfId="0" applyNumberFormat="1" applyFont="1" applyBorder="1" applyAlignment="1">
      <alignment horizontal="center" vertical="center" wrapText="1"/>
    </xf>
    <xf numFmtId="3" fontId="18" fillId="4" borderId="3" xfId="0" applyNumberFormat="1" applyFont="1" applyFill="1" applyBorder="1" applyAlignment="1">
      <alignment horizontal="center"/>
    </xf>
    <xf numFmtId="0" fontId="3" fillId="9" borderId="2" xfId="0" applyFont="1" applyFill="1" applyBorder="1" applyAlignment="1">
      <alignment vertical="center" shrinkToFit="1"/>
    </xf>
    <xf numFmtId="3" fontId="18" fillId="4" borderId="4" xfId="0" applyNumberFormat="1" applyFont="1" applyFill="1" applyBorder="1" applyAlignment="1">
      <alignment horizontal="center"/>
    </xf>
    <xf numFmtId="180" fontId="6" fillId="7" borderId="0" xfId="0" applyNumberFormat="1" applyFont="1" applyFill="1" applyAlignment="1">
      <alignment horizontal="center"/>
    </xf>
    <xf numFmtId="180" fontId="6" fillId="7" borderId="0" xfId="0" applyNumberFormat="1" applyFont="1" applyFill="1" applyAlignment="1">
      <alignment horizontal="right"/>
    </xf>
    <xf numFmtId="3" fontId="18" fillId="0" borderId="5" xfId="0" applyNumberFormat="1" applyFont="1" applyBorder="1" applyAlignment="1">
      <alignment horizontal="center" vertical="center"/>
    </xf>
    <xf numFmtId="3" fontId="20" fillId="4" borderId="4" xfId="0" applyNumberFormat="1"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Vertex42">
  <a:themeElements>
    <a:clrScheme name="V42-Blue2">
      <a:dk1>
        <a:srgbClr val="000000"/>
      </a:dk1>
      <a:lt1>
        <a:srgbClr val="FFFFFF"/>
      </a:lt1>
      <a:dk2>
        <a:srgbClr val="5E8BCE"/>
      </a:dk2>
      <a:lt2>
        <a:srgbClr val="EEECE2"/>
      </a:lt2>
      <a:accent1>
        <a:srgbClr val="3A5D9C"/>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Vertex42">
      <a:majorFont>
        <a:latin typeface="Arial"/>
        <a:ea typeface=""/>
        <a:cs typeface=""/>
      </a:majorFont>
      <a:minorFont>
        <a:latin typeface="Trebuchet MS"/>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12"/>
  <sheetViews>
    <sheetView showGridLines="0" zoomScale="107" zoomScaleNormal="107" topLeftCell="A19" workbookViewId="0">
      <selection activeCell="F11" sqref="F11"/>
    </sheetView>
  </sheetViews>
  <sheetFormatPr defaultColWidth="9.00833333333333" defaultRowHeight="14.4" customHeight="1"/>
  <cols>
    <col min="1" max="1" width="22.275" style="67" customWidth="1"/>
    <col min="2" max="2" width="7.99166666666667" style="67" customWidth="1"/>
    <col min="3" max="3" width="8.5" style="67" customWidth="1"/>
    <col min="4" max="4" width="8.25" style="67" customWidth="1"/>
    <col min="5" max="5" width="11.275" style="67" customWidth="1"/>
    <col min="6" max="6" width="11.4333333333333" style="67" customWidth="1"/>
    <col min="7" max="7" width="9.54166666666667" style="67" customWidth="1"/>
    <col min="8" max="8" width="9.15" style="67" customWidth="1"/>
    <col min="9" max="9" width="8.25" style="67" customWidth="1"/>
    <col min="10" max="10" width="9.75833333333333" style="67" customWidth="1"/>
    <col min="11" max="11" width="9.15" style="67" customWidth="1"/>
    <col min="12" max="12" width="10.675" style="67" customWidth="1"/>
    <col min="13" max="13" width="12.8666666666667" style="67" customWidth="1"/>
    <col min="14" max="14" width="12.8583333333333" style="67" customWidth="1"/>
    <col min="15" max="15" width="12.775" style="67" customWidth="1"/>
    <col min="16" max="16384" width="9" style="67" customWidth="1"/>
  </cols>
  <sheetData>
    <row r="1" s="62" customFormat="1" ht="25.5" customHeight="1" spans="1:16">
      <c r="A1" s="68" t="s">
        <v>0</v>
      </c>
      <c r="B1" s="69"/>
      <c r="C1" s="69"/>
      <c r="D1" s="69">
        <f>'Section-Category'!D1</f>
        <v>2026</v>
      </c>
      <c r="E1" s="69"/>
      <c r="F1" s="69"/>
      <c r="G1" s="69"/>
      <c r="H1" s="70"/>
      <c r="I1" s="70"/>
      <c r="J1" s="70"/>
      <c r="K1" s="70"/>
      <c r="L1" s="70"/>
      <c r="M1" s="70"/>
      <c r="N1" s="70"/>
      <c r="O1" s="70"/>
    </row>
    <row r="2" ht="19.5" customHeight="1" spans="1:16">
      <c r="A2" s="71" t="s">
        <v>1</v>
      </c>
      <c r="C2" s="72"/>
      <c r="D2" s="72"/>
      <c r="E2" s="72"/>
      <c r="F2" s="72"/>
      <c r="G2" s="72"/>
      <c r="O2" s="73"/>
    </row>
    <row r="3" s="62" customFormat="1" ht="28.5" customHeight="1" spans="1:16">
      <c r="A3" s="74">
        <v>1776341.28</v>
      </c>
      <c r="D3" s="75"/>
      <c r="E3" s="76"/>
      <c r="G3" s="77"/>
      <c r="M3" s="78"/>
      <c r="N3" s="78"/>
      <c r="O3" s="79"/>
      <c r="P3" s="80"/>
    </row>
    <row r="4" s="62" customFormat="1" ht="15.2" customHeight="1" spans="1:16">
      <c r="B4" s="81" t="s">
        <v>2</v>
      </c>
      <c r="C4" s="81" t="s">
        <v>3</v>
      </c>
      <c r="D4" s="82" t="s">
        <v>2</v>
      </c>
      <c r="E4" s="83" t="s">
        <v>3</v>
      </c>
      <c r="F4" s="81" t="s">
        <v>4</v>
      </c>
      <c r="G4" s="81" t="s">
        <v>3</v>
      </c>
      <c r="H4" s="81" t="s">
        <v>3</v>
      </c>
      <c r="I4" s="81" t="s">
        <v>3</v>
      </c>
      <c r="J4" s="81" t="s">
        <v>3</v>
      </c>
      <c r="K4" s="81" t="s">
        <v>2</v>
      </c>
      <c r="L4" s="81" t="s">
        <v>3</v>
      </c>
      <c r="M4" s="82" t="s">
        <v>2</v>
      </c>
      <c r="N4" s="78"/>
      <c r="O4" s="84"/>
    </row>
    <row r="5" s="63" customFormat="1" ht="21.75" customHeight="1" spans="1:16">
      <c r="A5" s="85" t="s">
        <v>5</v>
      </c>
      <c r="B5" s="85"/>
      <c r="C5" s="85"/>
      <c r="D5" s="85"/>
      <c r="E5" s="85"/>
      <c r="F5" s="85"/>
      <c r="G5" s="85"/>
      <c r="H5" s="85"/>
      <c r="I5" s="85"/>
      <c r="J5" s="85"/>
      <c r="K5" s="85"/>
      <c r="L5" s="85"/>
      <c r="M5" s="85"/>
      <c r="N5" s="85"/>
      <c r="O5" s="85"/>
    </row>
    <row r="6" s="22" customFormat="1" ht="16.5" customHeight="1" spans="1:16">
      <c r="A6" s="86" t="s">
        <v>6</v>
      </c>
      <c r="B6" s="86" t="s">
        <v>7</v>
      </c>
      <c r="C6" s="86" t="s">
        <v>8</v>
      </c>
      <c r="D6" s="86" t="s">
        <v>9</v>
      </c>
      <c r="E6" s="86" t="s">
        <v>10</v>
      </c>
      <c r="F6" s="86" t="s">
        <v>11</v>
      </c>
      <c r="G6" s="86" t="s">
        <v>12</v>
      </c>
      <c r="H6" s="86" t="s">
        <v>13</v>
      </c>
      <c r="I6" s="86" t="s">
        <v>14</v>
      </c>
      <c r="J6" s="86" t="s">
        <v>15</v>
      </c>
      <c r="K6" s="86" t="s">
        <v>16</v>
      </c>
      <c r="L6" s="86" t="s">
        <v>17</v>
      </c>
      <c r="M6" s="86" t="s">
        <v>18</v>
      </c>
      <c r="N6" s="86" t="s">
        <v>19</v>
      </c>
      <c r="O6" s="86" t="s">
        <v>20</v>
      </c>
    </row>
    <row r="7" s="22" customFormat="1" ht="16.5" customHeight="1" spans="1:16">
      <c r="A7" s="87" t="s">
        <v>21</v>
      </c>
      <c r="B7" s="87"/>
      <c r="C7" s="87"/>
      <c r="D7" s="87"/>
      <c r="E7" s="87"/>
      <c r="F7" s="87"/>
      <c r="G7" s="87"/>
      <c r="H7" s="87"/>
      <c r="I7" s="87"/>
      <c r="J7" s="87"/>
      <c r="K7" s="87"/>
      <c r="L7" s="87"/>
      <c r="M7" s="87"/>
      <c r="N7" s="87"/>
      <c r="O7" s="87"/>
    </row>
    <row r="8" s="64" customFormat="1" ht="16.5" customHeight="1" spans="1:16">
      <c r="A8" s="88" t="s">
        <v>22</v>
      </c>
      <c r="B8" s="89"/>
      <c r="C8" s="89"/>
      <c r="D8" s="89"/>
      <c r="E8" s="89"/>
      <c r="F8" s="89"/>
      <c r="G8" s="89"/>
      <c r="H8" s="89"/>
      <c r="I8" s="89"/>
      <c r="J8" s="89"/>
      <c r="K8" s="89"/>
      <c r="L8" s="89"/>
      <c r="M8" s="89"/>
      <c r="N8" s="90"/>
      <c r="O8" s="90">
        <f>SUM(C8:N8)</f>
        <v>0</v>
      </c>
    </row>
    <row r="9" s="22" customFormat="1" ht="16.5" customHeight="1" spans="1:16">
      <c r="A9" s="91" t="s">
        <v>23</v>
      </c>
      <c r="B9" s="92" t="str">
        <f ca="1">IF(OR(B$8="#",TRIM(B$18)="0"),"0",B8-B17)</f>
        <v>0</v>
      </c>
      <c r="C9" s="92" t="str">
        <f ca="1">IF(OR(C$8="#",TRIM(C$18)="0"),"0",C8-C17)</f>
        <v>0</v>
      </c>
      <c r="D9" s="92" t="str">
        <f ca="1">IF(OR(D$8="#",TRIM(D$18)="0"),"0",D8-D17)</f>
        <v>0</v>
      </c>
      <c r="E9" s="92" t="str">
        <f ca="1">IF(OR(E$8="#",TRIM(E$18)="0"),"0",E8-E17)</f>
        <v>0</v>
      </c>
      <c r="F9" s="93">
        <f ca="1">F8-F17</f>
        <v>0</v>
      </c>
      <c r="G9" s="93" t="str">
        <f ca="1" t="shared" ref="G9:M9" si="0">IF(OR(G$8="#",TRIM(G$18)="0"),"0",G8-G17)</f>
        <v>0</v>
      </c>
      <c r="H9" s="93" t="str">
        <f ca="1" t="shared" si="0"/>
        <v>0</v>
      </c>
      <c r="I9" s="93" t="str">
        <f ca="1" t="shared" si="0"/>
        <v>0</v>
      </c>
      <c r="J9" s="93" t="str">
        <f ca="1" t="shared" si="0"/>
        <v>0</v>
      </c>
      <c r="K9" s="93" t="str">
        <f ca="1" t="shared" si="0"/>
        <v>0</v>
      </c>
      <c r="L9" s="93" t="str">
        <f ca="1" t="shared" si="0"/>
        <v>0</v>
      </c>
      <c r="M9" s="93" t="str">
        <f ca="1" t="shared" si="0"/>
        <v>0</v>
      </c>
      <c r="N9" s="93" t="str">
        <f ca="1">IF(OR(N$8="#",TRIM(N$18)="0"),"-",N8-N17)</f>
        <v>-</v>
      </c>
      <c r="O9" s="94">
        <f ca="1">SUM(C9:N9)</f>
        <v>0</v>
      </c>
    </row>
    <row r="10" s="22" customFormat="1" ht="16.8" customHeight="1" spans="1:16">
      <c r="A10" s="95" t="s">
        <v>24</v>
      </c>
      <c r="B10" s="95"/>
      <c r="C10" s="95"/>
      <c r="D10" s="95"/>
      <c r="E10" s="95"/>
      <c r="F10" s="95"/>
      <c r="G10" s="95"/>
      <c r="H10" s="95"/>
      <c r="I10" s="95"/>
      <c r="J10" s="95"/>
      <c r="K10" s="95"/>
      <c r="L10" s="95"/>
      <c r="M10" s="95"/>
      <c r="N10" s="95"/>
      <c r="O10" s="95"/>
    </row>
    <row r="11" s="65" customFormat="1" ht="16.5" customHeight="1" spans="1:16">
      <c r="A11" s="96" t="s">
        <v>25</v>
      </c>
      <c r="B11" s="97"/>
      <c r="C11" s="97"/>
      <c r="D11" s="97"/>
      <c r="E11" s="97"/>
      <c r="F11" s="98"/>
      <c r="G11" s="97"/>
      <c r="H11" s="97"/>
      <c r="I11" s="97"/>
      <c r="J11" s="97"/>
      <c r="K11" s="97"/>
      <c r="L11" s="97"/>
      <c r="M11" s="97"/>
      <c r="N11" s="99">
        <f>SUM(B11:M11)</f>
        <v>0</v>
      </c>
      <c r="O11" s="99">
        <f>SUM(C11:N11)</f>
        <v>0</v>
      </c>
    </row>
    <row r="12" s="65" customFormat="1" ht="16.5" customHeight="1" spans="1:16">
      <c r="A12" s="96" t="s">
        <v>26</v>
      </c>
      <c r="B12" s="100" t="str">
        <f ca="1" t="shared" ref="B12:M12" si="1">IF(TRIM(B$54)="0","0",B54)</f>
        <v>0</v>
      </c>
      <c r="C12" s="100" t="str">
        <f ca="1" t="shared" si="1"/>
        <v>0</v>
      </c>
      <c r="D12" s="100" t="str">
        <f ca="1" t="shared" si="1"/>
        <v>0</v>
      </c>
      <c r="E12" s="100" t="str">
        <f ca="1" t="shared" si="1"/>
        <v>0</v>
      </c>
      <c r="F12" s="100" t="str">
        <f ca="1" t="shared" si="1"/>
        <v>0</v>
      </c>
      <c r="G12" s="100" t="str">
        <f ca="1" t="shared" si="1"/>
        <v>0</v>
      </c>
      <c r="H12" s="100" t="str">
        <f ca="1" t="shared" si="1"/>
        <v>0</v>
      </c>
      <c r="I12" s="100" t="str">
        <f ca="1" t="shared" si="1"/>
        <v>0</v>
      </c>
      <c r="J12" s="100" t="str">
        <f ca="1" t="shared" si="1"/>
        <v>0</v>
      </c>
      <c r="K12" s="100" t="str">
        <f ca="1" t="shared" si="1"/>
        <v>0</v>
      </c>
      <c r="L12" s="100" t="str">
        <f ca="1" t="shared" si="1"/>
        <v>0</v>
      </c>
      <c r="M12" s="100" t="str">
        <f ca="1" t="shared" si="1"/>
        <v>0</v>
      </c>
      <c r="N12" s="99">
        <f ca="1">SUM(B12:M12)</f>
        <v>0</v>
      </c>
      <c r="O12" s="99">
        <f ca="1">SUM(C12:N12)</f>
        <v>0</v>
      </c>
    </row>
    <row r="13" s="65" customFormat="1" ht="16.5" customHeight="1" spans="1:16">
      <c r="A13" s="101"/>
      <c r="B13" s="101"/>
      <c r="C13" s="101"/>
      <c r="D13" s="101"/>
      <c r="E13" s="101"/>
      <c r="F13" s="102"/>
      <c r="G13" s="102"/>
      <c r="H13" s="102"/>
      <c r="I13" s="102"/>
      <c r="J13" s="102"/>
      <c r="K13" s="102"/>
      <c r="L13" s="102"/>
      <c r="M13" s="102"/>
      <c r="N13" s="103"/>
      <c r="O13" s="103"/>
    </row>
    <row r="14" s="65" customFormat="1" ht="16.8" customHeight="1" spans="1:16">
      <c r="A14" s="104" t="s">
        <v>27</v>
      </c>
      <c r="B14" s="105">
        <f ca="1" t="shared" ref="B14:N14" si="2">IF(TRIM(B$11)="0","",B11-B12)</f>
        <v>0</v>
      </c>
      <c r="C14" s="105">
        <f ca="1" t="shared" si="2"/>
        <v>0</v>
      </c>
      <c r="D14" s="105">
        <f ca="1" t="shared" si="2"/>
        <v>0</v>
      </c>
      <c r="E14" s="105">
        <f ca="1" t="shared" si="2"/>
        <v>0</v>
      </c>
      <c r="F14" s="105">
        <f ca="1" t="shared" si="2"/>
        <v>0</v>
      </c>
      <c r="G14" s="105">
        <f ca="1" t="shared" si="2"/>
        <v>0</v>
      </c>
      <c r="H14" s="105">
        <f ca="1" t="shared" si="2"/>
        <v>0</v>
      </c>
      <c r="I14" s="105">
        <f ca="1" t="shared" si="2"/>
        <v>0</v>
      </c>
      <c r="J14" s="105">
        <f ca="1" t="shared" si="2"/>
        <v>0</v>
      </c>
      <c r="K14" s="105">
        <f ca="1" t="shared" si="2"/>
        <v>0</v>
      </c>
      <c r="L14" s="105">
        <f ca="1" t="shared" si="2"/>
        <v>0</v>
      </c>
      <c r="M14" s="105">
        <f ca="1" t="shared" si="2"/>
        <v>0</v>
      </c>
      <c r="N14" s="105" t="str">
        <f ca="1" t="shared" si="2"/>
        <v/>
      </c>
      <c r="O14" s="105">
        <f ca="1">O11-O12</f>
        <v>0</v>
      </c>
    </row>
    <row r="15" s="65" customFormat="1" ht="16.8" customHeight="1" spans="1:16">
      <c r="A15" s="106" t="s">
        <v>28</v>
      </c>
      <c r="B15" s="106"/>
      <c r="C15" s="106"/>
      <c r="D15" s="106"/>
      <c r="E15" s="106"/>
      <c r="F15" s="106"/>
      <c r="G15" s="106"/>
      <c r="H15" s="106"/>
      <c r="I15" s="106"/>
      <c r="J15" s="106"/>
      <c r="K15" s="106"/>
      <c r="L15" s="106"/>
      <c r="M15" s="106"/>
      <c r="N15" s="106"/>
      <c r="O15" s="106"/>
    </row>
    <row r="16" s="28" customFormat="1" spans="1:16">
      <c r="A16" s="107" t="s">
        <v>29</v>
      </c>
      <c r="B16" s="108">
        <f ca="1" t="shared" ref="B16:M16" si="3">B43</f>
        <v>0</v>
      </c>
      <c r="C16" s="108">
        <f ca="1" t="shared" si="3"/>
        <v>0</v>
      </c>
      <c r="D16" s="108">
        <f ca="1" t="shared" si="3"/>
        <v>0</v>
      </c>
      <c r="E16" s="108">
        <f ca="1" t="shared" si="3"/>
        <v>0</v>
      </c>
      <c r="F16" s="108">
        <f ca="1" t="shared" si="3"/>
        <v>0</v>
      </c>
      <c r="G16" s="108">
        <f ca="1" t="shared" si="3"/>
        <v>0</v>
      </c>
      <c r="H16" s="108">
        <f ca="1" t="shared" si="3"/>
        <v>0</v>
      </c>
      <c r="I16" s="108">
        <f ca="1" t="shared" si="3"/>
        <v>0</v>
      </c>
      <c r="J16" s="108">
        <f ca="1" t="shared" si="3"/>
        <v>0</v>
      </c>
      <c r="K16" s="108">
        <f ca="1" t="shared" si="3"/>
        <v>0</v>
      </c>
      <c r="L16" s="108">
        <f ca="1" t="shared" si="3"/>
        <v>0</v>
      </c>
      <c r="M16" s="108">
        <f ca="1" t="shared" si="3"/>
        <v>0</v>
      </c>
      <c r="N16" s="108">
        <f ca="1">SUM(B16:M16)</f>
        <v>0</v>
      </c>
      <c r="O16" s="108">
        <f ca="1">N16/COLUMNS(B16:M16)</f>
        <v>0</v>
      </c>
    </row>
    <row r="17" s="28" customFormat="1" spans="1:15">
      <c r="A17" s="109" t="s">
        <v>30</v>
      </c>
      <c r="B17" s="110">
        <f ca="1" t="shared" ref="B17:M17" si="4">B63+B80+B94+B106+B116+B125+B134+B142+B150+B158+B173+B181+B191+B201+B210</f>
        <v>0</v>
      </c>
      <c r="C17" s="110">
        <f ca="1" t="shared" si="4"/>
        <v>0</v>
      </c>
      <c r="D17" s="110">
        <f ca="1" t="shared" si="4"/>
        <v>0</v>
      </c>
      <c r="E17" s="110">
        <f ca="1" t="shared" si="4"/>
        <v>0</v>
      </c>
      <c r="F17" s="110">
        <f ca="1" t="shared" si="4"/>
        <v>0</v>
      </c>
      <c r="G17" s="110">
        <f ca="1" t="shared" si="4"/>
        <v>0</v>
      </c>
      <c r="H17" s="110">
        <f ca="1" t="shared" si="4"/>
        <v>0</v>
      </c>
      <c r="I17" s="110">
        <f ca="1" t="shared" si="4"/>
        <v>0</v>
      </c>
      <c r="J17" s="110">
        <f ca="1" t="shared" si="4"/>
        <v>0</v>
      </c>
      <c r="K17" s="110">
        <f ca="1" t="shared" si="4"/>
        <v>0</v>
      </c>
      <c r="L17" s="110">
        <f ca="1" t="shared" si="4"/>
        <v>0</v>
      </c>
      <c r="M17" s="110">
        <f ca="1" t="shared" si="4"/>
        <v>0</v>
      </c>
      <c r="N17" s="110">
        <f ca="1">SUM(B17:M17)</f>
        <v>0</v>
      </c>
      <c r="O17" s="110">
        <f ca="1">N17/COLUMNS(B17:M17)</f>
        <v>0</v>
      </c>
    </row>
    <row r="18" s="28" customFormat="1" spans="1:15">
      <c r="A18" s="111" t="s">
        <v>31</v>
      </c>
      <c r="B18" s="112">
        <f ca="1" t="shared" ref="B18:M18" si="5">B16-B17</f>
        <v>0</v>
      </c>
      <c r="C18" s="112">
        <f ca="1" t="shared" si="5"/>
        <v>0</v>
      </c>
      <c r="D18" s="112">
        <f ca="1" t="shared" si="5"/>
        <v>0</v>
      </c>
      <c r="E18" s="112">
        <f ca="1" t="shared" si="5"/>
        <v>0</v>
      </c>
      <c r="F18" s="112">
        <f ca="1" t="shared" si="5"/>
        <v>0</v>
      </c>
      <c r="G18" s="112">
        <f ca="1" t="shared" si="5"/>
        <v>0</v>
      </c>
      <c r="H18" s="112">
        <f ca="1" t="shared" si="5"/>
        <v>0</v>
      </c>
      <c r="I18" s="112">
        <f ca="1" t="shared" si="5"/>
        <v>0</v>
      </c>
      <c r="J18" s="112">
        <f ca="1" t="shared" si="5"/>
        <v>0</v>
      </c>
      <c r="K18" s="112">
        <f ca="1" t="shared" si="5"/>
        <v>0</v>
      </c>
      <c r="L18" s="112">
        <f ca="1" t="shared" si="5"/>
        <v>0</v>
      </c>
      <c r="M18" s="112">
        <f ca="1" t="shared" si="5"/>
        <v>0</v>
      </c>
      <c r="N18" s="112">
        <f ca="1">SUM(B18:M18)</f>
        <v>0</v>
      </c>
      <c r="O18" s="112">
        <f ca="1">N18/COLUMNS(B18:M18)</f>
        <v>0</v>
      </c>
    </row>
    <row r="19" s="28" customFormat="1" ht="13.6" customHeight="1"/>
    <row r="20" s="28" customFormat="1" spans="1:15">
      <c r="A20" s="113" t="s">
        <v>32</v>
      </c>
      <c r="B20" s="114">
        <f ca="1">A3+B18</f>
        <v>1776341.28</v>
      </c>
      <c r="C20" s="114">
        <f ca="1">B21+C18</f>
        <v>1776341.28</v>
      </c>
      <c r="D20" s="114">
        <f ca="1">C21+D18</f>
        <v>1776341.28</v>
      </c>
      <c r="E20" s="114">
        <f ca="1">D21+E18</f>
        <v>1776341.28</v>
      </c>
      <c r="F20" s="114" t="str">
        <f ca="1" t="shared" ref="F20:M20" si="6">IF(F$11=0,"-",E20+F18)</f>
        <v>-</v>
      </c>
      <c r="G20" s="114" t="str">
        <f ca="1" t="shared" si="6"/>
        <v>-</v>
      </c>
      <c r="H20" s="114" t="str">
        <f ca="1" t="shared" si="6"/>
        <v>-</v>
      </c>
      <c r="I20" s="114" t="str">
        <f ca="1" t="shared" si="6"/>
        <v>-</v>
      </c>
      <c r="J20" s="114" t="str">
        <f ca="1" t="shared" si="6"/>
        <v>-</v>
      </c>
      <c r="K20" s="114" t="str">
        <f ca="1" t="shared" si="6"/>
        <v>-</v>
      </c>
      <c r="L20" s="114" t="str">
        <f ca="1" t="shared" si="6"/>
        <v>-</v>
      </c>
      <c r="M20" s="114" t="str">
        <f ca="1" t="shared" si="6"/>
        <v>-</v>
      </c>
      <c r="N20" s="105"/>
      <c r="O20" s="105"/>
    </row>
    <row r="21" s="28" customFormat="1" spans="1:15">
      <c r="A21" s="115" t="s">
        <v>33</v>
      </c>
      <c r="B21" s="116">
        <f ca="1">B20+B14</f>
        <v>1776341.28</v>
      </c>
      <c r="C21" s="116">
        <f ca="1">C20+C14</f>
        <v>1776341.28</v>
      </c>
      <c r="D21" s="116">
        <f ca="1">D20+D14</f>
        <v>1776341.28</v>
      </c>
      <c r="E21" s="116">
        <f ca="1">E20+E14</f>
        <v>1776341.28</v>
      </c>
      <c r="F21" s="116" t="e">
        <f ca="1">F20+F14</f>
        <v>#VALUE!</v>
      </c>
      <c r="G21" s="116" t="str">
        <f ca="1" t="shared" ref="G21:M21" si="7">IF(G$11=0,"-",G14+G20)</f>
        <v>-</v>
      </c>
      <c r="H21" s="116" t="str">
        <f ca="1" t="shared" si="7"/>
        <v>-</v>
      </c>
      <c r="I21" s="116" t="str">
        <f ca="1" t="shared" si="7"/>
        <v>-</v>
      </c>
      <c r="J21" s="116" t="str">
        <f ca="1" t="shared" si="7"/>
        <v>-</v>
      </c>
      <c r="K21" s="116" t="str">
        <f ca="1" t="shared" si="7"/>
        <v>-</v>
      </c>
      <c r="L21" s="116" t="str">
        <f ca="1" t="shared" si="7"/>
        <v>-</v>
      </c>
      <c r="M21" s="116" t="str">
        <f ca="1" t="shared" si="7"/>
        <v>-</v>
      </c>
      <c r="N21" s="117"/>
      <c r="O21" s="117"/>
    </row>
    <row r="22" s="62" customFormat="1" spans="1:15">
      <c r="A22" s="63"/>
    </row>
    <row r="23" s="62" customFormat="1" spans="1:15">
      <c r="A23" s="63"/>
      <c r="O23" s="78"/>
    </row>
    <row r="24" s="62" customFormat="1" spans="1:15">
      <c r="A24" s="63"/>
      <c r="O24" s="78"/>
    </row>
    <row r="25" s="62" customFormat="1" spans="1:15">
      <c r="A25" s="63"/>
      <c r="O25" s="78"/>
    </row>
    <row r="26" s="62" customFormat="1" spans="1:15">
      <c r="A26" s="63"/>
      <c r="O26" s="78"/>
    </row>
    <row r="27" s="62" customFormat="1" spans="1:15">
      <c r="A27" s="63"/>
      <c r="O27" s="78"/>
    </row>
    <row r="28" s="62" customFormat="1" spans="1:15">
      <c r="A28" s="63"/>
      <c r="O28" s="78"/>
    </row>
    <row r="29" s="62" customFormat="1" spans="1:15">
      <c r="A29" s="63"/>
      <c r="O29" s="78"/>
    </row>
    <row r="30" s="62" customFormat="1" spans="1:15">
      <c r="A30" s="63"/>
      <c r="O30" s="78"/>
    </row>
    <row r="31" s="62" customFormat="1" spans="1:15">
      <c r="A31" s="63"/>
      <c r="O31" s="78"/>
    </row>
    <row r="32" s="62" customFormat="1" spans="1:15">
      <c r="A32" s="63"/>
      <c r="O32" s="78"/>
    </row>
    <row r="33" s="62" customFormat="1" spans="1:18">
      <c r="A33" s="63"/>
      <c r="O33" s="78"/>
    </row>
    <row r="34" s="62" customFormat="1" spans="1:18">
      <c r="A34" s="63"/>
      <c r="O34" s="78"/>
    </row>
    <row r="35" s="62" customFormat="1" spans="1:18">
      <c r="A35" s="1" t="str">
        <f>'Section-Category'!A1</f>
        <v>INCOME</v>
      </c>
      <c r="B35" s="118" t="str">
        <f t="shared" ref="B35:M35" si="8">B$6</f>
        <v>Jan</v>
      </c>
      <c r="C35" s="118" t="str">
        <f t="shared" si="8"/>
        <v>Feb</v>
      </c>
      <c r="D35" s="118" t="str">
        <f t="shared" si="8"/>
        <v>Mar</v>
      </c>
      <c r="E35" s="118" t="str">
        <f t="shared" si="8"/>
        <v>Apr</v>
      </c>
      <c r="F35" s="118" t="str">
        <f t="shared" si="8"/>
        <v>May</v>
      </c>
      <c r="G35" s="118" t="str">
        <f t="shared" si="8"/>
        <v>Jun</v>
      </c>
      <c r="H35" s="118" t="str">
        <f t="shared" si="8"/>
        <v>Jul</v>
      </c>
      <c r="I35" s="118" t="str">
        <f t="shared" si="8"/>
        <v>Aug</v>
      </c>
      <c r="J35" s="118" t="str">
        <f t="shared" si="8"/>
        <v>Sep</v>
      </c>
      <c r="K35" s="118" t="str">
        <f t="shared" si="8"/>
        <v>Oct</v>
      </c>
      <c r="L35" s="118" t="str">
        <f t="shared" si="8"/>
        <v>Nov</v>
      </c>
      <c r="M35" s="118" t="str">
        <f t="shared" si="8"/>
        <v>Dec</v>
      </c>
      <c r="N35" s="118" t="s">
        <v>34</v>
      </c>
      <c r="O35" s="118" t="s">
        <v>35</v>
      </c>
      <c r="R35" s="119"/>
    </row>
    <row r="36" s="28" customFormat="1" ht="15" customHeight="1" spans="1:18">
      <c r="A36" s="3" t="str">
        <f>'Section-Category'!A2</f>
        <v>Wages &amp; Tips</v>
      </c>
      <c r="B36" s="120" t="str">
        <f ca="1" t="array" ref="B36">IF(OR(TRIM(INDIRECT("'"&amp;B$6&amp;"'!"&amp;B$4&amp;ROW()-31))="0",INDIRECT("'"&amp;B$6&amp;"'!"&amp;B$4&amp;ROW()-31)="",NOT(ISNUMBER(INDIRECT("'"&amp;B$6&amp;"'!"&amp;B$4&amp;ROW()-31)))),"-",INDIRECT("'"&amp;B$6&amp;"'!"&amp;B$4&amp;ROW()-31))</f>
        <v>-</v>
      </c>
      <c r="C36" s="120" t="str">
        <f ca="1" t="array" ref="C36">IF(OR(TRIM(INDIRECT("'"&amp;C$6&amp;"'!"&amp;C$4&amp;ROW()-31))="0",INDIRECT("'"&amp;C$6&amp;"'!"&amp;C$4&amp;ROW()-31)="",NOT(ISNUMBER(INDIRECT("'"&amp;C$6&amp;"'!"&amp;C$4&amp;ROW()-31)))),"-",INDIRECT("'"&amp;C$6&amp;"'!"&amp;C$4&amp;ROW()-31))</f>
        <v>-</v>
      </c>
      <c r="D36" s="120" t="str">
        <f ca="1" t="array" ref="D36">IF(OR(TRIM(INDIRECT("'"&amp;D$6&amp;"'!"&amp;D$4&amp;ROW()-31))="0",INDIRECT("'"&amp;D$6&amp;"'!"&amp;D$4&amp;ROW()-31)="",NOT(ISNUMBER(INDIRECT("'"&amp;D$6&amp;"'!"&amp;D$4&amp;ROW()-31)))),"-",INDIRECT("'"&amp;D$6&amp;"'!"&amp;D$4&amp;ROW()-31))</f>
        <v>-</v>
      </c>
      <c r="E36" s="120" t="str">
        <f ca="1" t="array" ref="E36">IF(OR(TRIM(INDIRECT("'"&amp;E$6&amp;"'!"&amp;E$4&amp;ROW()-31))="0",INDIRECT("'"&amp;E$6&amp;"'!"&amp;E$4&amp;ROW()-31)="",NOT(ISNUMBER(INDIRECT("'"&amp;E$6&amp;"'!"&amp;E$4&amp;ROW()-31)))),"-",INDIRECT("'"&amp;E$6&amp;"'!"&amp;E$4&amp;ROW()-31))</f>
        <v>-</v>
      </c>
      <c r="F36" s="120" t="str">
        <f ca="1" t="array" ref="F36">IF(OR(TRIM(INDIRECT("'"&amp;F$6&amp;"'!"&amp;F$4&amp;ROW()-31))="0",INDIRECT("'"&amp;F$6&amp;"'!"&amp;F$4&amp;ROW()-31)="",NOT(ISNUMBER(INDIRECT("'"&amp;F$6&amp;"'!"&amp;F$4&amp;ROW()-31)))),"-",INDIRECT("'"&amp;F$6&amp;"'!"&amp;F$4&amp;ROW()-31))</f>
        <v>-</v>
      </c>
      <c r="G36" s="120" t="str">
        <f ca="1" t="array" ref="G36">IF(OR(TRIM(INDIRECT("'"&amp;G$6&amp;"'!"&amp;G$4&amp;ROW()-31))="0",INDIRECT("'"&amp;G$6&amp;"'!"&amp;G$4&amp;ROW()-31)="",NOT(ISNUMBER(INDIRECT("'"&amp;G$6&amp;"'!"&amp;G$4&amp;ROW()-31)))),"-",INDIRECT("'"&amp;G$6&amp;"'!"&amp;G$4&amp;ROW()-31))</f>
        <v>-</v>
      </c>
      <c r="H36" s="120" t="str">
        <f ca="1" t="array" ref="H36">IF(OR(TRIM(INDIRECT("'"&amp;H$6&amp;"'!"&amp;H$4&amp;ROW()-31))="0",INDIRECT("'"&amp;H$6&amp;"'!"&amp;H$4&amp;ROW()-31)="",NOT(ISNUMBER(INDIRECT("'"&amp;H$6&amp;"'!"&amp;H$4&amp;ROW()-31)))),"-",INDIRECT("'"&amp;H$6&amp;"'!"&amp;H$4&amp;ROW()-31))</f>
        <v>-</v>
      </c>
      <c r="I36" s="120" t="str">
        <f ca="1" t="array" ref="I36">IF(OR(TRIM(INDIRECT("'"&amp;I$6&amp;"'!"&amp;I$4&amp;ROW()-31))="0",INDIRECT("'"&amp;I$6&amp;"'!"&amp;I$4&amp;ROW()-31)="",NOT(ISNUMBER(INDIRECT("'"&amp;I$6&amp;"'!"&amp;I$4&amp;ROW()-31)))),"-",INDIRECT("'"&amp;I$6&amp;"'!"&amp;I$4&amp;ROW()-31))</f>
        <v>-</v>
      </c>
      <c r="J36" s="120" t="str">
        <f ca="1" t="array" ref="J36">IF(OR(TRIM(INDIRECT("'"&amp;J$6&amp;"'!"&amp;J$4&amp;ROW()-31))="0",INDIRECT("'"&amp;J$6&amp;"'!"&amp;J$4&amp;ROW()-31)="",NOT(ISNUMBER(INDIRECT("'"&amp;J$6&amp;"'!"&amp;J$4&amp;ROW()-31)))),"-",INDIRECT("'"&amp;J$6&amp;"'!"&amp;J$4&amp;ROW()-31))</f>
        <v>-</v>
      </c>
      <c r="K36" s="120" t="str">
        <f ca="1" t="array" ref="K36">IF(OR(TRIM(INDIRECT("'"&amp;K$6&amp;"'!"&amp;K$4&amp;ROW()-31))="0",INDIRECT("'"&amp;K$6&amp;"'!"&amp;K$4&amp;ROW()-31)="",NOT(ISNUMBER(INDIRECT("'"&amp;K$6&amp;"'!"&amp;K$4&amp;ROW()-31)))),"-",INDIRECT("'"&amp;K$6&amp;"'!"&amp;K$4&amp;ROW()-31))</f>
        <v>-</v>
      </c>
      <c r="L36" s="120" t="str">
        <f ca="1" t="array" ref="L36">IF(OR(TRIM(INDIRECT("'"&amp;L$6&amp;"'!"&amp;L$4&amp;ROW()-31))="0",INDIRECT("'"&amp;L$6&amp;"'!"&amp;L$4&amp;ROW()-31)="",NOT(ISNUMBER(INDIRECT("'"&amp;L$6&amp;"'!"&amp;L$4&amp;ROW()-31)))),"-",INDIRECT("'"&amp;L$6&amp;"'!"&amp;L$4&amp;ROW()-31))</f>
        <v>-</v>
      </c>
      <c r="M36" s="120" t="str">
        <f ca="1" t="array" ref="M36">IF(OR(TRIM(INDIRECT("'"&amp;M$6&amp;"'!"&amp;M$4&amp;ROW()-31))="0",INDIRECT("'"&amp;M$6&amp;"'!"&amp;M$4&amp;ROW()-31)="",NOT(ISNUMBER(INDIRECT("'"&amp;M$6&amp;"'!"&amp;M$4&amp;ROW()-31)))),"-",INDIRECT("'"&amp;M$6&amp;"'!"&amp;M$4&amp;ROW()-31))</f>
        <v>-</v>
      </c>
      <c r="N36" s="31">
        <f ca="1" t="shared" ref="N36:N42" si="9">SUM(B36:M36)</f>
        <v>0</v>
      </c>
      <c r="O36" s="31">
        <f ca="1" t="shared" ref="O36:O42" si="10">N36/COLUMNS(B36:M36)</f>
        <v>0</v>
      </c>
    </row>
    <row r="37" s="28" customFormat="1" ht="15" customHeight="1" spans="1:18">
      <c r="A37" s="3" t="str">
        <f>'Section-Category'!A3</f>
        <v>Interest Income</v>
      </c>
      <c r="B37" s="120" t="str">
        <f ca="1" t="array" ref="B37">IF(OR(TRIM(INDIRECT("'"&amp;B$6&amp;"'!"&amp;B$4&amp;ROW()-31))="0",INDIRECT("'"&amp;B$6&amp;"'!"&amp;B$4&amp;ROW()-31)="",NOT(ISNUMBER(INDIRECT("'"&amp;B$6&amp;"'!"&amp;B$4&amp;ROW()-31)))),"-",INDIRECT("'"&amp;B$6&amp;"'!"&amp;B$4&amp;ROW()-31))</f>
        <v>-</v>
      </c>
      <c r="C37" s="120" t="str">
        <f ca="1" t="array" ref="C37">IF(OR(TRIM(INDIRECT("'"&amp;C$6&amp;"'!"&amp;C$4&amp;ROW()-31))="0",INDIRECT("'"&amp;C$6&amp;"'!"&amp;C$4&amp;ROW()-31)="",NOT(ISNUMBER(INDIRECT("'"&amp;C$6&amp;"'!"&amp;C$4&amp;ROW()-31)))),"-",INDIRECT("'"&amp;C$6&amp;"'!"&amp;C$4&amp;ROW()-31))</f>
        <v>-</v>
      </c>
      <c r="D37" s="120" t="str">
        <f ca="1" t="array" ref="D37">IF(OR(TRIM(INDIRECT("'"&amp;D$6&amp;"'!"&amp;D$4&amp;ROW()-31))="0",INDIRECT("'"&amp;D$6&amp;"'!"&amp;D$4&amp;ROW()-31)="",NOT(ISNUMBER(INDIRECT("'"&amp;D$6&amp;"'!"&amp;D$4&amp;ROW()-31)))),"-",INDIRECT("'"&amp;D$6&amp;"'!"&amp;D$4&amp;ROW()-31))</f>
        <v>-</v>
      </c>
      <c r="E37" s="120" t="str">
        <f ca="1" t="array" ref="E37">IF(OR(TRIM(INDIRECT("'"&amp;E$6&amp;"'!"&amp;E$4&amp;ROW()-31))="0",INDIRECT("'"&amp;E$6&amp;"'!"&amp;E$4&amp;ROW()-31)="",NOT(ISNUMBER(INDIRECT("'"&amp;E$6&amp;"'!"&amp;E$4&amp;ROW()-31)))),"-",INDIRECT("'"&amp;E$6&amp;"'!"&amp;E$4&amp;ROW()-31))</f>
        <v>-</v>
      </c>
      <c r="F37" s="120" t="str">
        <f ca="1" t="array" ref="F37">IF(OR(TRIM(INDIRECT("'"&amp;F$6&amp;"'!"&amp;F$4&amp;ROW()-31))="0",INDIRECT("'"&amp;F$6&amp;"'!"&amp;F$4&amp;ROW()-31)="",NOT(ISNUMBER(INDIRECT("'"&amp;F$6&amp;"'!"&amp;F$4&amp;ROW()-31)))),"-",INDIRECT("'"&amp;F$6&amp;"'!"&amp;F$4&amp;ROW()-31))</f>
        <v>-</v>
      </c>
      <c r="G37" s="120" t="str">
        <f ca="1" t="array" ref="G37">IF(OR(TRIM(INDIRECT("'"&amp;G$6&amp;"'!"&amp;G$4&amp;ROW()-31))="0",INDIRECT("'"&amp;G$6&amp;"'!"&amp;G$4&amp;ROW()-31)="",NOT(ISNUMBER(INDIRECT("'"&amp;G$6&amp;"'!"&amp;G$4&amp;ROW()-31)))),"-",INDIRECT("'"&amp;G$6&amp;"'!"&amp;G$4&amp;ROW()-31))</f>
        <v>-</v>
      </c>
      <c r="H37" s="120" t="str">
        <f ca="1" t="array" ref="H37">IF(OR(TRIM(INDIRECT("'"&amp;H$6&amp;"'!"&amp;H$4&amp;ROW()-31))="0",INDIRECT("'"&amp;H$6&amp;"'!"&amp;H$4&amp;ROW()-31)="",NOT(ISNUMBER(INDIRECT("'"&amp;H$6&amp;"'!"&amp;H$4&amp;ROW()-31)))),"-",INDIRECT("'"&amp;H$6&amp;"'!"&amp;H$4&amp;ROW()-31))</f>
        <v>-</v>
      </c>
      <c r="I37" s="120" t="str">
        <f ca="1" t="array" ref="I37">IF(OR(TRIM(INDIRECT("'"&amp;I$6&amp;"'!"&amp;I$4&amp;ROW()-31))="0",INDIRECT("'"&amp;I$6&amp;"'!"&amp;I$4&amp;ROW()-31)="",NOT(ISNUMBER(INDIRECT("'"&amp;I$6&amp;"'!"&amp;I$4&amp;ROW()-31)))),"-",INDIRECT("'"&amp;I$6&amp;"'!"&amp;I$4&amp;ROW()-31))</f>
        <v>-</v>
      </c>
      <c r="J37" s="120" t="str">
        <f ca="1" t="array" ref="J37">IF(OR(TRIM(INDIRECT("'"&amp;J$6&amp;"'!"&amp;J$4&amp;ROW()-31))="0",INDIRECT("'"&amp;J$6&amp;"'!"&amp;J$4&amp;ROW()-31)="",NOT(ISNUMBER(INDIRECT("'"&amp;J$6&amp;"'!"&amp;J$4&amp;ROW()-31)))),"-",INDIRECT("'"&amp;J$6&amp;"'!"&amp;J$4&amp;ROW()-31))</f>
        <v>-</v>
      </c>
      <c r="K37" s="120" t="str">
        <f ca="1" t="array" ref="K37">IF(OR(TRIM(INDIRECT("'"&amp;K$6&amp;"'!"&amp;K$4&amp;ROW()-31))="0",INDIRECT("'"&amp;K$6&amp;"'!"&amp;K$4&amp;ROW()-31)="",NOT(ISNUMBER(INDIRECT("'"&amp;K$6&amp;"'!"&amp;K$4&amp;ROW()-31)))),"-",INDIRECT("'"&amp;K$6&amp;"'!"&amp;K$4&amp;ROW()-31))</f>
        <v>-</v>
      </c>
      <c r="L37" s="120" t="str">
        <f ca="1" t="array" ref="L37">IF(OR(TRIM(INDIRECT("'"&amp;L$6&amp;"'!"&amp;L$4&amp;ROW()-31))="0",INDIRECT("'"&amp;L$6&amp;"'!"&amp;L$4&amp;ROW()-31)="",NOT(ISNUMBER(INDIRECT("'"&amp;L$6&amp;"'!"&amp;L$4&amp;ROW()-31)))),"-",INDIRECT("'"&amp;L$6&amp;"'!"&amp;L$4&amp;ROW()-31))</f>
        <v>-</v>
      </c>
      <c r="M37" s="120" t="str">
        <f ca="1" t="array" ref="M37">IF(OR(TRIM(INDIRECT("'"&amp;M$6&amp;"'!"&amp;M$4&amp;ROW()-31))="0",INDIRECT("'"&amp;M$6&amp;"'!"&amp;M$4&amp;ROW()-31)="",NOT(ISNUMBER(INDIRECT("'"&amp;M$6&amp;"'!"&amp;M$4&amp;ROW()-31)))),"-",INDIRECT("'"&amp;M$6&amp;"'!"&amp;M$4&amp;ROW()-31))</f>
        <v>-</v>
      </c>
      <c r="N37" s="31">
        <f ca="1" t="shared" si="9"/>
        <v>0</v>
      </c>
      <c r="O37" s="31">
        <f ca="1" t="shared" si="10"/>
        <v>0</v>
      </c>
    </row>
    <row r="38" s="28" customFormat="1" ht="15" customHeight="1" spans="1:18">
      <c r="A38" s="3" t="str">
        <f>'Section-Category'!A4</f>
        <v>Dividends</v>
      </c>
      <c r="B38" s="120" t="str">
        <f ca="1" t="array" ref="B38">IF(OR(TRIM(INDIRECT("'"&amp;B$6&amp;"'!"&amp;B$4&amp;ROW()-31))="0",INDIRECT("'"&amp;B$6&amp;"'!"&amp;B$4&amp;ROW()-31)="",NOT(ISNUMBER(INDIRECT("'"&amp;B$6&amp;"'!"&amp;B$4&amp;ROW()-31)))),"-",INDIRECT("'"&amp;B$6&amp;"'!"&amp;B$4&amp;ROW()-31))</f>
        <v>-</v>
      </c>
      <c r="C38" s="120" t="str">
        <f ca="1" t="array" ref="C38">IF(OR(TRIM(INDIRECT("'"&amp;C$6&amp;"'!"&amp;C$4&amp;ROW()-31))="0",INDIRECT("'"&amp;C$6&amp;"'!"&amp;C$4&amp;ROW()-31)="",NOT(ISNUMBER(INDIRECT("'"&amp;C$6&amp;"'!"&amp;C$4&amp;ROW()-31)))),"-",INDIRECT("'"&amp;C$6&amp;"'!"&amp;C$4&amp;ROW()-31))</f>
        <v>-</v>
      </c>
      <c r="D38" s="120" t="str">
        <f ca="1" t="array" ref="D38">IF(OR(TRIM(INDIRECT("'"&amp;D$6&amp;"'!"&amp;D$4&amp;ROW()-31))="0",INDIRECT("'"&amp;D$6&amp;"'!"&amp;D$4&amp;ROW()-31)="",NOT(ISNUMBER(INDIRECT("'"&amp;D$6&amp;"'!"&amp;D$4&amp;ROW()-31)))),"-",INDIRECT("'"&amp;D$6&amp;"'!"&amp;D$4&amp;ROW()-31))</f>
        <v>-</v>
      </c>
      <c r="E38" s="120" t="str">
        <f ca="1" t="array" ref="E38">IF(OR(TRIM(INDIRECT("'"&amp;E$6&amp;"'!"&amp;E$4&amp;ROW()-31))="0",INDIRECT("'"&amp;E$6&amp;"'!"&amp;E$4&amp;ROW()-31)="",NOT(ISNUMBER(INDIRECT("'"&amp;E$6&amp;"'!"&amp;E$4&amp;ROW()-31)))),"-",INDIRECT("'"&amp;E$6&amp;"'!"&amp;E$4&amp;ROW()-31))</f>
        <v>-</v>
      </c>
      <c r="F38" s="120" t="str">
        <f ca="1" t="array" ref="F38">IF(OR(TRIM(INDIRECT("'"&amp;F$6&amp;"'!"&amp;F$4&amp;ROW()-31))="0",INDIRECT("'"&amp;F$6&amp;"'!"&amp;F$4&amp;ROW()-31)="",NOT(ISNUMBER(INDIRECT("'"&amp;F$6&amp;"'!"&amp;F$4&amp;ROW()-31)))),"-",INDIRECT("'"&amp;F$6&amp;"'!"&amp;F$4&amp;ROW()-31))</f>
        <v>-</v>
      </c>
      <c r="G38" s="120" t="str">
        <f ca="1" t="array" ref="G38">IF(OR(TRIM(INDIRECT("'"&amp;G$6&amp;"'!"&amp;G$4&amp;ROW()-31))="0",INDIRECT("'"&amp;G$6&amp;"'!"&amp;G$4&amp;ROW()-31)="",NOT(ISNUMBER(INDIRECT("'"&amp;G$6&amp;"'!"&amp;G$4&amp;ROW()-31)))),"-",INDIRECT("'"&amp;G$6&amp;"'!"&amp;G$4&amp;ROW()-31))</f>
        <v>-</v>
      </c>
      <c r="H38" s="120" t="str">
        <f ca="1" t="array" ref="H38">IF(OR(TRIM(INDIRECT("'"&amp;H$6&amp;"'!"&amp;H$4&amp;ROW()-31))="0",INDIRECT("'"&amp;H$6&amp;"'!"&amp;H$4&amp;ROW()-31)="",NOT(ISNUMBER(INDIRECT("'"&amp;H$6&amp;"'!"&amp;H$4&amp;ROW()-31)))),"-",INDIRECT("'"&amp;H$6&amp;"'!"&amp;H$4&amp;ROW()-31))</f>
        <v>-</v>
      </c>
      <c r="I38" s="120" t="str">
        <f ca="1" t="array" ref="I38">IF(OR(TRIM(INDIRECT("'"&amp;I$6&amp;"'!"&amp;I$4&amp;ROW()-31))="0",INDIRECT("'"&amp;I$6&amp;"'!"&amp;I$4&amp;ROW()-31)="",NOT(ISNUMBER(INDIRECT("'"&amp;I$6&amp;"'!"&amp;I$4&amp;ROW()-31)))),"-",INDIRECT("'"&amp;I$6&amp;"'!"&amp;I$4&amp;ROW()-31))</f>
        <v>-</v>
      </c>
      <c r="J38" s="120" t="str">
        <f ca="1" t="array" ref="J38">IF(OR(TRIM(INDIRECT("'"&amp;J$6&amp;"'!"&amp;J$4&amp;ROW()-31))="0",INDIRECT("'"&amp;J$6&amp;"'!"&amp;J$4&amp;ROW()-31)="",NOT(ISNUMBER(INDIRECT("'"&amp;J$6&amp;"'!"&amp;J$4&amp;ROW()-31)))),"-",INDIRECT("'"&amp;J$6&amp;"'!"&amp;J$4&amp;ROW()-31))</f>
        <v>-</v>
      </c>
      <c r="K38" s="120" t="str">
        <f ca="1" t="array" ref="K38">IF(OR(TRIM(INDIRECT("'"&amp;K$6&amp;"'!"&amp;K$4&amp;ROW()-31))="0",INDIRECT("'"&amp;K$6&amp;"'!"&amp;K$4&amp;ROW()-31)="",NOT(ISNUMBER(INDIRECT("'"&amp;K$6&amp;"'!"&amp;K$4&amp;ROW()-31)))),"-",INDIRECT("'"&amp;K$6&amp;"'!"&amp;K$4&amp;ROW()-31))</f>
        <v>-</v>
      </c>
      <c r="L38" s="120" t="str">
        <f ca="1" t="array" ref="L38">IF(OR(TRIM(INDIRECT("'"&amp;L$6&amp;"'!"&amp;L$4&amp;ROW()-31))="0",INDIRECT("'"&amp;L$6&amp;"'!"&amp;L$4&amp;ROW()-31)="",NOT(ISNUMBER(INDIRECT("'"&amp;L$6&amp;"'!"&amp;L$4&amp;ROW()-31)))),"-",INDIRECT("'"&amp;L$6&amp;"'!"&amp;L$4&amp;ROW()-31))</f>
        <v>-</v>
      </c>
      <c r="M38" s="120" t="str">
        <f ca="1" t="array" ref="M38">IF(OR(TRIM(INDIRECT("'"&amp;M$6&amp;"'!"&amp;M$4&amp;ROW()-31))="0",INDIRECT("'"&amp;M$6&amp;"'!"&amp;M$4&amp;ROW()-31)="",NOT(ISNUMBER(INDIRECT("'"&amp;M$6&amp;"'!"&amp;M$4&amp;ROW()-31)))),"-",INDIRECT("'"&amp;M$6&amp;"'!"&amp;M$4&amp;ROW()-31))</f>
        <v>-</v>
      </c>
      <c r="N38" s="31">
        <f ca="1" t="shared" si="9"/>
        <v>0</v>
      </c>
      <c r="O38" s="31">
        <f ca="1" t="shared" si="10"/>
        <v>0</v>
      </c>
    </row>
    <row r="39" s="28" customFormat="1" ht="15" customHeight="1" spans="1:18">
      <c r="A39" s="3" t="str">
        <f>'Section-Category'!A5</f>
        <v>Gifts Received</v>
      </c>
      <c r="B39" s="120" t="str">
        <f ca="1" t="array" ref="B39">IF(OR(TRIM(INDIRECT("'"&amp;B$6&amp;"'!"&amp;B$4&amp;ROW()-31))="0",INDIRECT("'"&amp;B$6&amp;"'!"&amp;B$4&amp;ROW()-31)="",NOT(ISNUMBER(INDIRECT("'"&amp;B$6&amp;"'!"&amp;B$4&amp;ROW()-31)))),"-",INDIRECT("'"&amp;B$6&amp;"'!"&amp;B$4&amp;ROW()-31))</f>
        <v>-</v>
      </c>
      <c r="C39" s="120" t="str">
        <f ca="1" t="array" ref="C39">IF(OR(TRIM(INDIRECT("'"&amp;C$6&amp;"'!"&amp;C$4&amp;ROW()-31))="0",INDIRECT("'"&amp;C$6&amp;"'!"&amp;C$4&amp;ROW()-31)="",NOT(ISNUMBER(INDIRECT("'"&amp;C$6&amp;"'!"&amp;C$4&amp;ROW()-31)))),"-",INDIRECT("'"&amp;C$6&amp;"'!"&amp;C$4&amp;ROW()-31))</f>
        <v>-</v>
      </c>
      <c r="D39" s="120" t="str">
        <f ca="1" t="array" ref="D39">IF(OR(TRIM(INDIRECT("'"&amp;D$6&amp;"'!"&amp;D$4&amp;ROW()-31))="0",INDIRECT("'"&amp;D$6&amp;"'!"&amp;D$4&amp;ROW()-31)="",NOT(ISNUMBER(INDIRECT("'"&amp;D$6&amp;"'!"&amp;D$4&amp;ROW()-31)))),"-",INDIRECT("'"&amp;D$6&amp;"'!"&amp;D$4&amp;ROW()-31))</f>
        <v>-</v>
      </c>
      <c r="E39" s="120" t="str">
        <f ca="1" t="array" ref="E39">IF(OR(TRIM(INDIRECT("'"&amp;E$6&amp;"'!"&amp;E$4&amp;ROW()-31))="0",INDIRECT("'"&amp;E$6&amp;"'!"&amp;E$4&amp;ROW()-31)="",NOT(ISNUMBER(INDIRECT("'"&amp;E$6&amp;"'!"&amp;E$4&amp;ROW()-31)))),"-",INDIRECT("'"&amp;E$6&amp;"'!"&amp;E$4&amp;ROW()-31))</f>
        <v>-</v>
      </c>
      <c r="F39" s="120" t="str">
        <f ca="1" t="array" ref="F39">IF(OR(TRIM(INDIRECT("'"&amp;F$6&amp;"'!"&amp;F$4&amp;ROW()-31))="0",INDIRECT("'"&amp;F$6&amp;"'!"&amp;F$4&amp;ROW()-31)="",NOT(ISNUMBER(INDIRECT("'"&amp;F$6&amp;"'!"&amp;F$4&amp;ROW()-31)))),"-",INDIRECT("'"&amp;F$6&amp;"'!"&amp;F$4&amp;ROW()-31))</f>
        <v>-</v>
      </c>
      <c r="G39" s="120" t="str">
        <f ca="1" t="array" ref="G39">IF(OR(TRIM(INDIRECT("'"&amp;G$6&amp;"'!"&amp;G$4&amp;ROW()-31))="0",INDIRECT("'"&amp;G$6&amp;"'!"&amp;G$4&amp;ROW()-31)="",NOT(ISNUMBER(INDIRECT("'"&amp;G$6&amp;"'!"&amp;G$4&amp;ROW()-31)))),"-",INDIRECT("'"&amp;G$6&amp;"'!"&amp;G$4&amp;ROW()-31))</f>
        <v>-</v>
      </c>
      <c r="H39" s="120" t="str">
        <f ca="1" t="array" ref="H39">IF(OR(TRIM(INDIRECT("'"&amp;H$6&amp;"'!"&amp;H$4&amp;ROW()-31))="0",INDIRECT("'"&amp;H$6&amp;"'!"&amp;H$4&amp;ROW()-31)="",NOT(ISNUMBER(INDIRECT("'"&amp;H$6&amp;"'!"&amp;H$4&amp;ROW()-31)))),"-",INDIRECT("'"&amp;H$6&amp;"'!"&amp;H$4&amp;ROW()-31))</f>
        <v>-</v>
      </c>
      <c r="I39" s="120" t="str">
        <f ca="1" t="array" ref="I39">IF(OR(TRIM(INDIRECT("'"&amp;I$6&amp;"'!"&amp;I$4&amp;ROW()-31))="0",INDIRECT("'"&amp;I$6&amp;"'!"&amp;I$4&amp;ROW()-31)="",NOT(ISNUMBER(INDIRECT("'"&amp;I$6&amp;"'!"&amp;I$4&amp;ROW()-31)))),"-",INDIRECT("'"&amp;I$6&amp;"'!"&amp;I$4&amp;ROW()-31))</f>
        <v>-</v>
      </c>
      <c r="J39" s="120" t="str">
        <f ca="1" t="array" ref="J39">IF(OR(TRIM(INDIRECT("'"&amp;J$6&amp;"'!"&amp;J$4&amp;ROW()-31))="0",INDIRECT("'"&amp;J$6&amp;"'!"&amp;J$4&amp;ROW()-31)="",NOT(ISNUMBER(INDIRECT("'"&amp;J$6&amp;"'!"&amp;J$4&amp;ROW()-31)))),"-",INDIRECT("'"&amp;J$6&amp;"'!"&amp;J$4&amp;ROW()-31))</f>
        <v>-</v>
      </c>
      <c r="K39" s="120" t="str">
        <f ca="1" t="array" ref="K39">IF(OR(TRIM(INDIRECT("'"&amp;K$6&amp;"'!"&amp;K$4&amp;ROW()-31))="0",INDIRECT("'"&amp;K$6&amp;"'!"&amp;K$4&amp;ROW()-31)="",NOT(ISNUMBER(INDIRECT("'"&amp;K$6&amp;"'!"&amp;K$4&amp;ROW()-31)))),"-",INDIRECT("'"&amp;K$6&amp;"'!"&amp;K$4&amp;ROW()-31))</f>
        <v>-</v>
      </c>
      <c r="L39" s="120" t="str">
        <f ca="1" t="array" ref="L39">IF(OR(TRIM(INDIRECT("'"&amp;L$6&amp;"'!"&amp;L$4&amp;ROW()-31))="0",INDIRECT("'"&amp;L$6&amp;"'!"&amp;L$4&amp;ROW()-31)="",NOT(ISNUMBER(INDIRECT("'"&amp;L$6&amp;"'!"&amp;L$4&amp;ROW()-31)))),"-",INDIRECT("'"&amp;L$6&amp;"'!"&amp;L$4&amp;ROW()-31))</f>
        <v>-</v>
      </c>
      <c r="M39" s="120" t="str">
        <f ca="1" t="array" ref="M39">IF(OR(TRIM(INDIRECT("'"&amp;M$6&amp;"'!"&amp;M$4&amp;ROW()-31))="0",INDIRECT("'"&amp;M$6&amp;"'!"&amp;M$4&amp;ROW()-31)="",NOT(ISNUMBER(INDIRECT("'"&amp;M$6&amp;"'!"&amp;M$4&amp;ROW()-31)))),"-",INDIRECT("'"&amp;M$6&amp;"'!"&amp;M$4&amp;ROW()-31))</f>
        <v>-</v>
      </c>
      <c r="N39" s="31">
        <f ca="1" t="shared" si="9"/>
        <v>0</v>
      </c>
      <c r="O39" s="31">
        <f ca="1" t="shared" si="10"/>
        <v>0</v>
      </c>
    </row>
    <row r="40" s="28" customFormat="1" ht="15" customHeight="1" spans="1:18">
      <c r="A40" s="3" t="str">
        <f>'Section-Category'!A6</f>
        <v>Refunds/Reimbursements</v>
      </c>
      <c r="B40" s="120" t="str">
        <f ca="1" t="array" ref="B40">IF(OR(TRIM(INDIRECT("'"&amp;B$6&amp;"'!"&amp;B$4&amp;ROW()-31))="0",INDIRECT("'"&amp;B$6&amp;"'!"&amp;B$4&amp;ROW()-31)="",NOT(ISNUMBER(INDIRECT("'"&amp;B$6&amp;"'!"&amp;B$4&amp;ROW()-31)))),"-",INDIRECT("'"&amp;B$6&amp;"'!"&amp;B$4&amp;ROW()-31))</f>
        <v>-</v>
      </c>
      <c r="C40" s="120" t="str">
        <f ca="1" t="array" ref="C40">IF(OR(TRIM(INDIRECT("'"&amp;C$6&amp;"'!"&amp;C$4&amp;ROW()-31))="0",INDIRECT("'"&amp;C$6&amp;"'!"&amp;C$4&amp;ROW()-31)="",NOT(ISNUMBER(INDIRECT("'"&amp;C$6&amp;"'!"&amp;C$4&amp;ROW()-31)))),"-",INDIRECT("'"&amp;C$6&amp;"'!"&amp;C$4&amp;ROW()-31))</f>
        <v>-</v>
      </c>
      <c r="D40" s="120" t="str">
        <f ca="1" t="array" ref="D40">IF(OR(TRIM(INDIRECT("'"&amp;D$6&amp;"'!"&amp;D$4&amp;ROW()-31))="0",INDIRECT("'"&amp;D$6&amp;"'!"&amp;D$4&amp;ROW()-31)="",NOT(ISNUMBER(INDIRECT("'"&amp;D$6&amp;"'!"&amp;D$4&amp;ROW()-31)))),"-",INDIRECT("'"&amp;D$6&amp;"'!"&amp;D$4&amp;ROW()-31))</f>
        <v>-</v>
      </c>
      <c r="E40" s="120" t="str">
        <f ca="1" t="array" ref="E40">IF(OR(TRIM(INDIRECT("'"&amp;E$6&amp;"'!"&amp;E$4&amp;ROW()-31))="0",INDIRECT("'"&amp;E$6&amp;"'!"&amp;E$4&amp;ROW()-31)="",NOT(ISNUMBER(INDIRECT("'"&amp;E$6&amp;"'!"&amp;E$4&amp;ROW()-31)))),"-",INDIRECT("'"&amp;E$6&amp;"'!"&amp;E$4&amp;ROW()-31))</f>
        <v>-</v>
      </c>
      <c r="F40" s="120" t="str">
        <f ca="1" t="array" ref="F40">IF(OR(TRIM(INDIRECT("'"&amp;F$6&amp;"'!"&amp;F$4&amp;ROW()-31))="0",INDIRECT("'"&amp;F$6&amp;"'!"&amp;F$4&amp;ROW()-31)="",NOT(ISNUMBER(INDIRECT("'"&amp;F$6&amp;"'!"&amp;F$4&amp;ROW()-31)))),"-",INDIRECT("'"&amp;F$6&amp;"'!"&amp;F$4&amp;ROW()-31))</f>
        <v>-</v>
      </c>
      <c r="G40" s="120" t="str">
        <f ca="1" t="array" ref="G40">IF(OR(TRIM(INDIRECT("'"&amp;G$6&amp;"'!"&amp;G$4&amp;ROW()-31))="0",INDIRECT("'"&amp;G$6&amp;"'!"&amp;G$4&amp;ROW()-31)="",NOT(ISNUMBER(INDIRECT("'"&amp;G$6&amp;"'!"&amp;G$4&amp;ROW()-31)))),"-",INDIRECT("'"&amp;G$6&amp;"'!"&amp;G$4&amp;ROW()-31))</f>
        <v>-</v>
      </c>
      <c r="H40" s="120" t="str">
        <f ca="1" t="array" ref="H40">IF(OR(TRIM(INDIRECT("'"&amp;H$6&amp;"'!"&amp;H$4&amp;ROW()-31))="0",INDIRECT("'"&amp;H$6&amp;"'!"&amp;H$4&amp;ROW()-31)="",NOT(ISNUMBER(INDIRECT("'"&amp;H$6&amp;"'!"&amp;H$4&amp;ROW()-31)))),"-",INDIRECT("'"&amp;H$6&amp;"'!"&amp;H$4&amp;ROW()-31))</f>
        <v>-</v>
      </c>
      <c r="I40" s="120" t="str">
        <f ca="1" t="array" ref="I40">IF(OR(TRIM(INDIRECT("'"&amp;I$6&amp;"'!"&amp;I$4&amp;ROW()-31))="0",INDIRECT("'"&amp;I$6&amp;"'!"&amp;I$4&amp;ROW()-31)="",NOT(ISNUMBER(INDIRECT("'"&amp;I$6&amp;"'!"&amp;I$4&amp;ROW()-31)))),"-",INDIRECT("'"&amp;I$6&amp;"'!"&amp;I$4&amp;ROW()-31))</f>
        <v>-</v>
      </c>
      <c r="J40" s="120" t="str">
        <f ca="1" t="array" ref="J40">IF(OR(TRIM(INDIRECT("'"&amp;J$6&amp;"'!"&amp;J$4&amp;ROW()-31))="0",INDIRECT("'"&amp;J$6&amp;"'!"&amp;J$4&amp;ROW()-31)="",NOT(ISNUMBER(INDIRECT("'"&amp;J$6&amp;"'!"&amp;J$4&amp;ROW()-31)))),"-",INDIRECT("'"&amp;J$6&amp;"'!"&amp;J$4&amp;ROW()-31))</f>
        <v>-</v>
      </c>
      <c r="K40" s="120" t="str">
        <f ca="1" t="array" ref="K40">IF(OR(TRIM(INDIRECT("'"&amp;K$6&amp;"'!"&amp;K$4&amp;ROW()-31))="0",INDIRECT("'"&amp;K$6&amp;"'!"&amp;K$4&amp;ROW()-31)="",NOT(ISNUMBER(INDIRECT("'"&amp;K$6&amp;"'!"&amp;K$4&amp;ROW()-31)))),"-",INDIRECT("'"&amp;K$6&amp;"'!"&amp;K$4&amp;ROW()-31))</f>
        <v>-</v>
      </c>
      <c r="L40" s="120" t="str">
        <f ca="1" t="array" ref="L40">IF(OR(TRIM(INDIRECT("'"&amp;L$6&amp;"'!"&amp;L$4&amp;ROW()-31))="0",INDIRECT("'"&amp;L$6&amp;"'!"&amp;L$4&amp;ROW()-31)="",NOT(ISNUMBER(INDIRECT("'"&amp;L$6&amp;"'!"&amp;L$4&amp;ROW()-31)))),"-",INDIRECT("'"&amp;L$6&amp;"'!"&amp;L$4&amp;ROW()-31))</f>
        <v>-</v>
      </c>
      <c r="M40" s="120" t="str">
        <f ca="1" t="array" ref="M40">IF(OR(TRIM(INDIRECT("'"&amp;M$6&amp;"'!"&amp;M$4&amp;ROW()-31))="0",INDIRECT("'"&amp;M$6&amp;"'!"&amp;M$4&amp;ROW()-31)="",NOT(ISNUMBER(INDIRECT("'"&amp;M$6&amp;"'!"&amp;M$4&amp;ROW()-31)))),"-",INDIRECT("'"&amp;M$6&amp;"'!"&amp;M$4&amp;ROW()-31))</f>
        <v>-</v>
      </c>
      <c r="N40" s="31">
        <f ca="1" t="shared" si="9"/>
        <v>0</v>
      </c>
      <c r="O40" s="31">
        <f ca="1" t="shared" si="10"/>
        <v>0</v>
      </c>
    </row>
    <row r="41" s="28" customFormat="1" ht="15" customHeight="1" spans="1:18">
      <c r="A41" s="3" t="str">
        <f>'Section-Category'!A7</f>
        <v>Other</v>
      </c>
      <c r="B41" s="120" t="str">
        <f ca="1" t="array" ref="B41">IF(OR(TRIM(INDIRECT("'"&amp;B$6&amp;"'!"&amp;B$4&amp;ROW()-31))="0",INDIRECT("'"&amp;B$6&amp;"'!"&amp;B$4&amp;ROW()-31)="",NOT(ISNUMBER(INDIRECT("'"&amp;B$6&amp;"'!"&amp;B$4&amp;ROW()-31)))),"-",INDIRECT("'"&amp;B$6&amp;"'!"&amp;B$4&amp;ROW()-31))</f>
        <v>-</v>
      </c>
      <c r="C41" s="120" t="str">
        <f ca="1" t="array" ref="C41">IF(OR(TRIM(INDIRECT("'"&amp;C$6&amp;"'!"&amp;C$4&amp;ROW()-31))="0",INDIRECT("'"&amp;C$6&amp;"'!"&amp;C$4&amp;ROW()-31)="",NOT(ISNUMBER(INDIRECT("'"&amp;C$6&amp;"'!"&amp;C$4&amp;ROW()-31)))),"-",INDIRECT("'"&amp;C$6&amp;"'!"&amp;C$4&amp;ROW()-31))</f>
        <v>-</v>
      </c>
      <c r="D41" s="120" t="str">
        <f ca="1" t="array" ref="D41">IF(OR(TRIM(INDIRECT("'"&amp;D$6&amp;"'!"&amp;D$4&amp;ROW()-31))="0",INDIRECT("'"&amp;D$6&amp;"'!"&amp;D$4&amp;ROW()-31)="",NOT(ISNUMBER(INDIRECT("'"&amp;D$6&amp;"'!"&amp;D$4&amp;ROW()-31)))),"-",INDIRECT("'"&amp;D$6&amp;"'!"&amp;D$4&amp;ROW()-31))</f>
        <v>-</v>
      </c>
      <c r="E41" s="120" t="str">
        <f ca="1" t="array" ref="E41">IF(OR(TRIM(INDIRECT("'"&amp;E$6&amp;"'!"&amp;E$4&amp;ROW()-31))="0",INDIRECT("'"&amp;E$6&amp;"'!"&amp;E$4&amp;ROW()-31)="",NOT(ISNUMBER(INDIRECT("'"&amp;E$6&amp;"'!"&amp;E$4&amp;ROW()-31)))),"-",INDIRECT("'"&amp;E$6&amp;"'!"&amp;E$4&amp;ROW()-31))</f>
        <v>-</v>
      </c>
      <c r="F41" s="120" t="str">
        <f ca="1" t="array" ref="F41">IF(OR(TRIM(INDIRECT("'"&amp;F$6&amp;"'!"&amp;F$4&amp;ROW()-31))="0",INDIRECT("'"&amp;F$6&amp;"'!"&amp;F$4&amp;ROW()-31)="",NOT(ISNUMBER(INDIRECT("'"&amp;F$6&amp;"'!"&amp;F$4&amp;ROW()-31)))),"-",INDIRECT("'"&amp;F$6&amp;"'!"&amp;F$4&amp;ROW()-31))</f>
        <v>-</v>
      </c>
      <c r="G41" s="120" t="str">
        <f ca="1" t="array" ref="G41">IF(OR(TRIM(INDIRECT("'"&amp;G$6&amp;"'!"&amp;G$4&amp;ROW()-31))="0",INDIRECT("'"&amp;G$6&amp;"'!"&amp;G$4&amp;ROW()-31)="",NOT(ISNUMBER(INDIRECT("'"&amp;G$6&amp;"'!"&amp;G$4&amp;ROW()-31)))),"-",INDIRECT("'"&amp;G$6&amp;"'!"&amp;G$4&amp;ROW()-31))</f>
        <v>-</v>
      </c>
      <c r="H41" s="120" t="str">
        <f ca="1" t="array" ref="H41">IF(OR(TRIM(INDIRECT("'"&amp;H$6&amp;"'!"&amp;H$4&amp;ROW()-31))="0",INDIRECT("'"&amp;H$6&amp;"'!"&amp;H$4&amp;ROW()-31)="",NOT(ISNUMBER(INDIRECT("'"&amp;H$6&amp;"'!"&amp;H$4&amp;ROW()-31)))),"-",INDIRECT("'"&amp;H$6&amp;"'!"&amp;H$4&amp;ROW()-31))</f>
        <v>-</v>
      </c>
      <c r="I41" s="120" t="str">
        <f ca="1" t="array" ref="I41">IF(OR(TRIM(INDIRECT("'"&amp;I$6&amp;"'!"&amp;I$4&amp;ROW()-31))="0",INDIRECT("'"&amp;I$6&amp;"'!"&amp;I$4&amp;ROW()-31)="",NOT(ISNUMBER(INDIRECT("'"&amp;I$6&amp;"'!"&amp;I$4&amp;ROW()-31)))),"-",INDIRECT("'"&amp;I$6&amp;"'!"&amp;I$4&amp;ROW()-31))</f>
        <v>-</v>
      </c>
      <c r="J41" s="120" t="str">
        <f ca="1" t="array" ref="J41">IF(OR(TRIM(INDIRECT("'"&amp;J$6&amp;"'!"&amp;J$4&amp;ROW()-31))="0",INDIRECT("'"&amp;J$6&amp;"'!"&amp;J$4&amp;ROW()-31)="",NOT(ISNUMBER(INDIRECT("'"&amp;J$6&amp;"'!"&amp;J$4&amp;ROW()-31)))),"-",INDIRECT("'"&amp;J$6&amp;"'!"&amp;J$4&amp;ROW()-31))</f>
        <v>-</v>
      </c>
      <c r="K41" s="120" t="str">
        <f ca="1" t="array" ref="K41">IF(OR(TRIM(INDIRECT("'"&amp;K$6&amp;"'!"&amp;K$4&amp;ROW()-31))="0",INDIRECT("'"&amp;K$6&amp;"'!"&amp;K$4&amp;ROW()-31)="",NOT(ISNUMBER(INDIRECT("'"&amp;K$6&amp;"'!"&amp;K$4&amp;ROW()-31)))),"-",INDIRECT("'"&amp;K$6&amp;"'!"&amp;K$4&amp;ROW()-31))</f>
        <v>-</v>
      </c>
      <c r="L41" s="120" t="str">
        <f ca="1" t="array" ref="L41">IF(OR(TRIM(INDIRECT("'"&amp;L$6&amp;"'!"&amp;L$4&amp;ROW()-31))="0",INDIRECT("'"&amp;L$6&amp;"'!"&amp;L$4&amp;ROW()-31)="",NOT(ISNUMBER(INDIRECT("'"&amp;L$6&amp;"'!"&amp;L$4&amp;ROW()-31)))),"-",INDIRECT("'"&amp;L$6&amp;"'!"&amp;L$4&amp;ROW()-31))</f>
        <v>-</v>
      </c>
      <c r="M41" s="120" t="str">
        <f ca="1" t="array" ref="M41">IF(OR(TRIM(INDIRECT("'"&amp;M$6&amp;"'!"&amp;M$4&amp;ROW()-31))="0",INDIRECT("'"&amp;M$6&amp;"'!"&amp;M$4&amp;ROW()-31)="",NOT(ISNUMBER(INDIRECT("'"&amp;M$6&amp;"'!"&amp;M$4&amp;ROW()-31)))),"-",INDIRECT("'"&amp;M$6&amp;"'!"&amp;M$4&amp;ROW()-31))</f>
        <v>-</v>
      </c>
      <c r="N41" s="31">
        <f ca="1" t="shared" si="9"/>
        <v>0</v>
      </c>
      <c r="O41" s="31">
        <f ca="1" t="shared" si="10"/>
        <v>0</v>
      </c>
    </row>
    <row r="42" s="28" customFormat="1" ht="15.75" customHeight="1" spans="1:18">
      <c r="A42" s="3" t="str">
        <f>'Section-Category'!A8</f>
        <v>Transfer From Savings</v>
      </c>
      <c r="B42" s="120" t="str">
        <f ca="1" t="array" ref="B42">IF(OR(TRIM(INDIRECT("'"&amp;B$6&amp;"'!"&amp;B$4&amp;ROW()-31))="0",INDIRECT("'"&amp;B$6&amp;"'!"&amp;B$4&amp;ROW()-31)="",NOT(ISNUMBER(INDIRECT("'"&amp;B$6&amp;"'!"&amp;B$4&amp;ROW()-31)))),"-",INDIRECT("'"&amp;B$6&amp;"'!"&amp;B$4&amp;ROW()-31))</f>
        <v>-</v>
      </c>
      <c r="C42" s="120" t="str">
        <f ca="1" t="array" ref="C42">IF(OR(TRIM(INDIRECT("'"&amp;C$6&amp;"'!"&amp;C$4&amp;ROW()-31))="0",INDIRECT("'"&amp;C$6&amp;"'!"&amp;C$4&amp;ROW()-31)="",NOT(ISNUMBER(INDIRECT("'"&amp;C$6&amp;"'!"&amp;C$4&amp;ROW()-31)))),"-",INDIRECT("'"&amp;C$6&amp;"'!"&amp;C$4&amp;ROW()-31))</f>
        <v>-</v>
      </c>
      <c r="D42" s="120" t="str">
        <f ca="1" t="array" ref="D42">IF(OR(TRIM(INDIRECT("'"&amp;D$6&amp;"'!"&amp;D$4&amp;ROW()-31))="0",INDIRECT("'"&amp;D$6&amp;"'!"&amp;D$4&amp;ROW()-31)="",NOT(ISNUMBER(INDIRECT("'"&amp;D$6&amp;"'!"&amp;D$4&amp;ROW()-31)))),"-",INDIRECT("'"&amp;D$6&amp;"'!"&amp;D$4&amp;ROW()-31))</f>
        <v>-</v>
      </c>
      <c r="E42" s="120" t="str">
        <f ca="1" t="array" ref="E42">IF(OR(TRIM(INDIRECT("'"&amp;E$6&amp;"'!"&amp;E$4&amp;ROW()-31))="0",INDIRECT("'"&amp;E$6&amp;"'!"&amp;E$4&amp;ROW()-31)="",NOT(ISNUMBER(INDIRECT("'"&amp;E$6&amp;"'!"&amp;E$4&amp;ROW()-31)))),"-",INDIRECT("'"&amp;E$6&amp;"'!"&amp;E$4&amp;ROW()-31))</f>
        <v>-</v>
      </c>
      <c r="F42" s="120" t="str">
        <f ca="1" t="array" ref="F42">IF(OR(TRIM(INDIRECT("'"&amp;F$6&amp;"'!"&amp;F$4&amp;ROW()-31))="0",INDIRECT("'"&amp;F$6&amp;"'!"&amp;F$4&amp;ROW()-31)="",NOT(ISNUMBER(INDIRECT("'"&amp;F$6&amp;"'!"&amp;F$4&amp;ROW()-31)))),"-",INDIRECT("'"&amp;F$6&amp;"'!"&amp;F$4&amp;ROW()-31))</f>
        <v>-</v>
      </c>
      <c r="G42" s="120" t="str">
        <f ca="1" t="array" ref="G42">IF(OR(TRIM(INDIRECT("'"&amp;G$6&amp;"'!"&amp;G$4&amp;ROW()-31))="0",INDIRECT("'"&amp;G$6&amp;"'!"&amp;G$4&amp;ROW()-31)="",NOT(ISNUMBER(INDIRECT("'"&amp;G$6&amp;"'!"&amp;G$4&amp;ROW()-31)))),"-",INDIRECT("'"&amp;G$6&amp;"'!"&amp;G$4&amp;ROW()-31))</f>
        <v>-</v>
      </c>
      <c r="H42" s="120" t="str">
        <f ca="1" t="array" ref="H42">IF(OR(TRIM(INDIRECT("'"&amp;H$6&amp;"'!"&amp;H$4&amp;ROW()-31))="0",INDIRECT("'"&amp;H$6&amp;"'!"&amp;H$4&amp;ROW()-31)="",NOT(ISNUMBER(INDIRECT("'"&amp;H$6&amp;"'!"&amp;H$4&amp;ROW()-31)))),"-",INDIRECT("'"&amp;H$6&amp;"'!"&amp;H$4&amp;ROW()-31))</f>
        <v>-</v>
      </c>
      <c r="I42" s="120" t="str">
        <f ca="1" t="array" ref="I42">IF(OR(TRIM(INDIRECT("'"&amp;I$6&amp;"'!"&amp;I$4&amp;ROW()-31))="0",INDIRECT("'"&amp;I$6&amp;"'!"&amp;I$4&amp;ROW()-31)="",NOT(ISNUMBER(INDIRECT("'"&amp;I$6&amp;"'!"&amp;I$4&amp;ROW()-31)))),"-",INDIRECT("'"&amp;I$6&amp;"'!"&amp;I$4&amp;ROW()-31))</f>
        <v>-</v>
      </c>
      <c r="J42" s="120" t="str">
        <f ca="1" t="array" ref="J42">IF(OR(TRIM(INDIRECT("'"&amp;J$6&amp;"'!"&amp;J$4&amp;ROW()-31))="0",INDIRECT("'"&amp;J$6&amp;"'!"&amp;J$4&amp;ROW()-31)="",NOT(ISNUMBER(INDIRECT("'"&amp;J$6&amp;"'!"&amp;J$4&amp;ROW()-31)))),"-",INDIRECT("'"&amp;J$6&amp;"'!"&amp;J$4&amp;ROW()-31))</f>
        <v>-</v>
      </c>
      <c r="K42" s="120" t="str">
        <f ca="1" t="array" ref="K42">IF(OR(TRIM(INDIRECT("'"&amp;K$6&amp;"'!"&amp;K$4&amp;ROW()-31))="0",INDIRECT("'"&amp;K$6&amp;"'!"&amp;K$4&amp;ROW()-31)="",NOT(ISNUMBER(INDIRECT("'"&amp;K$6&amp;"'!"&amp;K$4&amp;ROW()-31)))),"-",INDIRECT("'"&amp;K$6&amp;"'!"&amp;K$4&amp;ROW()-31))</f>
        <v>-</v>
      </c>
      <c r="L42" s="120" t="str">
        <f ca="1" t="array" ref="L42">IF(OR(TRIM(INDIRECT("'"&amp;L$6&amp;"'!"&amp;L$4&amp;ROW()-31))="0",INDIRECT("'"&amp;L$6&amp;"'!"&amp;L$4&amp;ROW()-31)="",NOT(ISNUMBER(INDIRECT("'"&amp;L$6&amp;"'!"&amp;L$4&amp;ROW()-31)))),"-",INDIRECT("'"&amp;L$6&amp;"'!"&amp;L$4&amp;ROW()-31))</f>
        <v>-</v>
      </c>
      <c r="M42" s="120" t="str">
        <f ca="1" t="array" ref="M42">IF(OR(TRIM(INDIRECT("'"&amp;M$6&amp;"'!"&amp;M$4&amp;ROW()-31))="0",INDIRECT("'"&amp;M$6&amp;"'!"&amp;M$4&amp;ROW()-31)="",NOT(ISNUMBER(INDIRECT("'"&amp;M$6&amp;"'!"&amp;M$4&amp;ROW()-31)))),"-",INDIRECT("'"&amp;M$6&amp;"'!"&amp;M$4&amp;ROW()-31))</f>
        <v>-</v>
      </c>
      <c r="N42" s="31">
        <f ca="1" t="shared" si="9"/>
        <v>0</v>
      </c>
      <c r="O42" s="31">
        <f ca="1" t="shared" si="10"/>
        <v>0</v>
      </c>
    </row>
    <row r="43" s="66" customFormat="1" ht="15" customHeight="1" spans="1:18">
      <c r="A43" s="6" t="s">
        <v>36</v>
      </c>
      <c r="B43" s="121">
        <f ca="1" t="shared" ref="B43:O43" si="11">SUM(B36:B42)</f>
        <v>0</v>
      </c>
      <c r="C43" s="121">
        <f ca="1" t="shared" si="11"/>
        <v>0</v>
      </c>
      <c r="D43" s="121">
        <f ca="1" t="shared" si="11"/>
        <v>0</v>
      </c>
      <c r="E43" s="121">
        <f ca="1" t="shared" si="11"/>
        <v>0</v>
      </c>
      <c r="F43" s="121">
        <f ca="1" t="shared" si="11"/>
        <v>0</v>
      </c>
      <c r="G43" s="121">
        <f ca="1" t="shared" si="11"/>
        <v>0</v>
      </c>
      <c r="H43" s="121">
        <f ca="1" t="shared" si="11"/>
        <v>0</v>
      </c>
      <c r="I43" s="121">
        <f ca="1" t="shared" si="11"/>
        <v>0</v>
      </c>
      <c r="J43" s="121">
        <f ca="1" t="shared" si="11"/>
        <v>0</v>
      </c>
      <c r="K43" s="121">
        <f ca="1" t="shared" si="11"/>
        <v>0</v>
      </c>
      <c r="L43" s="121">
        <f ca="1" t="shared" si="11"/>
        <v>0</v>
      </c>
      <c r="M43" s="121">
        <f ca="1" t="shared" si="11"/>
        <v>0</v>
      </c>
      <c r="N43" s="121">
        <f ca="1" t="shared" si="11"/>
        <v>0</v>
      </c>
      <c r="O43" s="121">
        <f ca="1" t="shared" si="11"/>
        <v>0</v>
      </c>
    </row>
    <row r="44" s="28" customFormat="1" ht="13.5" customHeight="1" spans="1:18">
      <c r="A44" s="7"/>
      <c r="B44" s="76"/>
      <c r="C44" s="76"/>
      <c r="D44" s="76"/>
      <c r="E44" s="76"/>
      <c r="F44" s="76"/>
      <c r="G44" s="76"/>
      <c r="H44" s="76"/>
      <c r="I44" s="76"/>
      <c r="J44" s="76"/>
      <c r="K44" s="76"/>
      <c r="L44" s="76"/>
      <c r="M44" s="76"/>
      <c r="N44" s="76"/>
      <c r="O44" s="76"/>
    </row>
    <row r="45" s="28" customFormat="1" spans="1:18">
      <c r="A45" s="14" t="str">
        <f>'Section-Category'!A82</f>
        <v>Petty Cash Used</v>
      </c>
      <c r="B45" s="36" t="str">
        <f t="shared" ref="B45:M45" si="12">B$6</f>
        <v>Jan</v>
      </c>
      <c r="C45" s="36" t="str">
        <f t="shared" si="12"/>
        <v>Feb</v>
      </c>
      <c r="D45" s="36" t="str">
        <f t="shared" si="12"/>
        <v>Mar</v>
      </c>
      <c r="E45" s="36" t="str">
        <f t="shared" si="12"/>
        <v>Apr</v>
      </c>
      <c r="F45" s="36" t="str">
        <f t="shared" si="12"/>
        <v>May</v>
      </c>
      <c r="G45" s="36" t="str">
        <f t="shared" si="12"/>
        <v>Jun</v>
      </c>
      <c r="H45" s="36" t="str">
        <f t="shared" si="12"/>
        <v>Jul</v>
      </c>
      <c r="I45" s="36" t="str">
        <f t="shared" si="12"/>
        <v>Aug</v>
      </c>
      <c r="J45" s="36" t="str">
        <f t="shared" si="12"/>
        <v>Sep</v>
      </c>
      <c r="K45" s="36" t="str">
        <f t="shared" si="12"/>
        <v>Oct</v>
      </c>
      <c r="L45" s="36" t="str">
        <f t="shared" si="12"/>
        <v>Nov</v>
      </c>
      <c r="M45" s="36" t="str">
        <f t="shared" si="12"/>
        <v>Dec</v>
      </c>
      <c r="N45" s="36"/>
      <c r="O45" s="36"/>
    </row>
    <row r="46" s="28" customFormat="1" ht="15" customHeight="1" spans="1:18">
      <c r="A46" s="122" t="str">
        <f>'Section-Category'!A83</f>
        <v>Pocket Money Wife</v>
      </c>
      <c r="B46" s="120" t="str">
        <f ca="1" t="array" ref="B46">IF(OR(TRIM(INDIRECT("'"&amp;B$6&amp;"'!"&amp;B$4&amp;ROW()-31))="0",INDIRECT("'"&amp;B$6&amp;"'!"&amp;B$4&amp;ROW()-31)="",NOT(ISNUMBER(INDIRECT("'"&amp;B$6&amp;"'!"&amp;B$4&amp;ROW()-31)))),"-",INDIRECT("'"&amp;B$6&amp;"'!"&amp;B$4&amp;ROW()-31))</f>
        <v>-</v>
      </c>
      <c r="C46" s="120" t="str">
        <f ca="1" t="array" ref="C46">IF(OR(TRIM(INDIRECT("'"&amp;C$6&amp;"'!"&amp;C$4&amp;ROW()-31))="0",INDIRECT("'"&amp;C$6&amp;"'!"&amp;C$4&amp;ROW()-31)="",NOT(ISNUMBER(INDIRECT("'"&amp;C$6&amp;"'!"&amp;C$4&amp;ROW()-31)))),"-",INDIRECT("'"&amp;C$6&amp;"'!"&amp;C$4&amp;ROW()-31))</f>
        <v>-</v>
      </c>
      <c r="D46" s="120" t="str">
        <f ca="1" t="array" ref="D46">IF(OR(TRIM(INDIRECT("'"&amp;D$6&amp;"'!"&amp;D$4&amp;ROW()-31))="0",INDIRECT("'"&amp;D$6&amp;"'!"&amp;D$4&amp;ROW()-31)="",NOT(ISNUMBER(INDIRECT("'"&amp;D$6&amp;"'!"&amp;D$4&amp;ROW()-31)))),"-",INDIRECT("'"&amp;D$6&amp;"'!"&amp;D$4&amp;ROW()-31))</f>
        <v>-</v>
      </c>
      <c r="E46" s="120" t="str">
        <f ca="1" t="array" ref="E46">IF(OR(TRIM(INDIRECT("'"&amp;E$6&amp;"'!"&amp;E$4&amp;ROW()-31))="0",INDIRECT("'"&amp;E$6&amp;"'!"&amp;E$4&amp;ROW()-31)="",NOT(ISNUMBER(INDIRECT("'"&amp;E$6&amp;"'!"&amp;E$4&amp;ROW()-31)))),"-",INDIRECT("'"&amp;E$6&amp;"'!"&amp;E$4&amp;ROW()-31))</f>
        <v>-</v>
      </c>
      <c r="F46" s="120" t="str">
        <f ca="1" t="array" ref="F46">IF(OR(TRIM(INDIRECT("'"&amp;F$6&amp;"'!"&amp;F$4&amp;ROW()-31))="0",INDIRECT("'"&amp;F$6&amp;"'!"&amp;F$4&amp;ROW()-31)="",NOT(ISNUMBER(INDIRECT("'"&amp;F$6&amp;"'!"&amp;F$4&amp;ROW()-31)))),"-",INDIRECT("'"&amp;F$6&amp;"'!"&amp;F$4&amp;ROW()-31))</f>
        <v>-</v>
      </c>
      <c r="G46" s="120" t="str">
        <f ca="1" t="array" ref="G46">IF(OR(TRIM(INDIRECT("'"&amp;G$6&amp;"'!"&amp;G$4&amp;ROW()-31))="0",INDIRECT("'"&amp;G$6&amp;"'!"&amp;G$4&amp;ROW()-31)="",NOT(ISNUMBER(INDIRECT("'"&amp;G$6&amp;"'!"&amp;G$4&amp;ROW()-31)))),"-",INDIRECT("'"&amp;G$6&amp;"'!"&amp;G$4&amp;ROW()-31))</f>
        <v>-</v>
      </c>
      <c r="H46" s="120" t="str">
        <f ca="1" t="array" ref="H46">IF(OR(TRIM(INDIRECT("'"&amp;H$6&amp;"'!"&amp;H$4&amp;ROW()-31))="0",INDIRECT("'"&amp;H$6&amp;"'!"&amp;H$4&amp;ROW()-31)="",NOT(ISNUMBER(INDIRECT("'"&amp;H$6&amp;"'!"&amp;H$4&amp;ROW()-31)))),"-",INDIRECT("'"&amp;H$6&amp;"'!"&amp;H$4&amp;ROW()-31))</f>
        <v>-</v>
      </c>
      <c r="I46" s="120" t="str">
        <f ca="1" t="array" ref="I46">IF(OR(TRIM(INDIRECT("'"&amp;I$6&amp;"'!"&amp;I$4&amp;ROW()-31))="0",INDIRECT("'"&amp;I$6&amp;"'!"&amp;I$4&amp;ROW()-31)="",NOT(ISNUMBER(INDIRECT("'"&amp;I$6&amp;"'!"&amp;I$4&amp;ROW()-31)))),"-",INDIRECT("'"&amp;I$6&amp;"'!"&amp;I$4&amp;ROW()-31))</f>
        <v>-</v>
      </c>
      <c r="J46" s="120" t="str">
        <f ca="1" t="array" ref="J46">IF(OR(TRIM(INDIRECT("'"&amp;J$6&amp;"'!"&amp;J$4&amp;ROW()-31))="0",INDIRECT("'"&amp;J$6&amp;"'!"&amp;J$4&amp;ROW()-31)="",NOT(ISNUMBER(INDIRECT("'"&amp;J$6&amp;"'!"&amp;J$4&amp;ROW()-31)))),"-",INDIRECT("'"&amp;J$6&amp;"'!"&amp;J$4&amp;ROW()-31))</f>
        <v>-</v>
      </c>
      <c r="K46" s="120" t="str">
        <f ca="1" t="array" ref="K46">IF(OR(TRIM(INDIRECT("'"&amp;K$6&amp;"'!"&amp;K$4&amp;ROW()-31))="0",INDIRECT("'"&amp;K$6&amp;"'!"&amp;K$4&amp;ROW()-31)="",NOT(ISNUMBER(INDIRECT("'"&amp;K$6&amp;"'!"&amp;K$4&amp;ROW()-31)))),"-",INDIRECT("'"&amp;K$6&amp;"'!"&amp;K$4&amp;ROW()-31))</f>
        <v>-</v>
      </c>
      <c r="L46" s="120" t="str">
        <f ca="1" t="array" ref="L46">IF(OR(TRIM(INDIRECT("'"&amp;L$6&amp;"'!"&amp;L$4&amp;ROW()-31))="0",INDIRECT("'"&amp;L$6&amp;"'!"&amp;L$4&amp;ROW()-31)="",NOT(ISNUMBER(INDIRECT("'"&amp;L$6&amp;"'!"&amp;L$4&amp;ROW()-31)))),"-",INDIRECT("'"&amp;L$6&amp;"'!"&amp;L$4&amp;ROW()-31))</f>
        <v>-</v>
      </c>
      <c r="M46" s="120" t="str">
        <f ca="1" t="array" ref="M46">IF(OR(TRIM(INDIRECT("'"&amp;M$6&amp;"'!"&amp;M$4&amp;ROW()-31))="0",INDIRECT("'"&amp;M$6&amp;"'!"&amp;M$4&amp;ROW()-31)="",NOT(ISNUMBER(INDIRECT("'"&amp;M$6&amp;"'!"&amp;M$4&amp;ROW()-31)))),"-",INDIRECT("'"&amp;M$6&amp;"'!"&amp;M$4&amp;ROW()-31))</f>
        <v>-</v>
      </c>
      <c r="N46" s="31">
        <v>0</v>
      </c>
      <c r="O46" s="31">
        <v>0</v>
      </c>
    </row>
    <row r="47" s="28" customFormat="1" ht="15" customHeight="1" spans="1:18">
      <c r="A47" s="122" t="str">
        <f>'Section-Category'!A84</f>
        <v>Car Repair / Workshop</v>
      </c>
      <c r="B47" s="120" t="str">
        <f ca="1" t="array" ref="B47">IF(OR(TRIM(INDIRECT("'"&amp;B$6&amp;"'!"&amp;B$4&amp;ROW()-31))="0",INDIRECT("'"&amp;B$6&amp;"'!"&amp;B$4&amp;ROW()-31)="",NOT(ISNUMBER(INDIRECT("'"&amp;B$6&amp;"'!"&amp;B$4&amp;ROW()-31)))),"-",INDIRECT("'"&amp;B$6&amp;"'!"&amp;B$4&amp;ROW()-31))</f>
        <v>-</v>
      </c>
      <c r="C47" s="120" t="str">
        <f ca="1" t="array" ref="C47">IF(OR(TRIM(INDIRECT("'"&amp;C$6&amp;"'!"&amp;C$4&amp;ROW()-31))="0",INDIRECT("'"&amp;C$6&amp;"'!"&amp;C$4&amp;ROW()-31)="",NOT(ISNUMBER(INDIRECT("'"&amp;C$6&amp;"'!"&amp;C$4&amp;ROW()-31)))),"-",INDIRECT("'"&amp;C$6&amp;"'!"&amp;C$4&amp;ROW()-31))</f>
        <v>-</v>
      </c>
      <c r="D47" s="120" t="str">
        <f ca="1" t="array" ref="D47">IF(OR(TRIM(INDIRECT("'"&amp;D$6&amp;"'!"&amp;D$4&amp;ROW()-31))="0",INDIRECT("'"&amp;D$6&amp;"'!"&amp;D$4&amp;ROW()-31)="",NOT(ISNUMBER(INDIRECT("'"&amp;D$6&amp;"'!"&amp;D$4&amp;ROW()-31)))),"-",INDIRECT("'"&amp;D$6&amp;"'!"&amp;D$4&amp;ROW()-31))</f>
        <v>-</v>
      </c>
      <c r="E47" s="120" t="str">
        <f ca="1" t="array" ref="E47">IF(OR(TRIM(INDIRECT("'"&amp;E$6&amp;"'!"&amp;E$4&amp;ROW()-31))="0",INDIRECT("'"&amp;E$6&amp;"'!"&amp;E$4&amp;ROW()-31)="",NOT(ISNUMBER(INDIRECT("'"&amp;E$6&amp;"'!"&amp;E$4&amp;ROW()-31)))),"-",INDIRECT("'"&amp;E$6&amp;"'!"&amp;E$4&amp;ROW()-31))</f>
        <v>-</v>
      </c>
      <c r="F47" s="120" t="str">
        <f ca="1" t="array" ref="F47">IF(OR(TRIM(INDIRECT("'"&amp;F$6&amp;"'!"&amp;F$4&amp;ROW()-31))="0",INDIRECT("'"&amp;F$6&amp;"'!"&amp;F$4&amp;ROW()-31)="",NOT(ISNUMBER(INDIRECT("'"&amp;F$6&amp;"'!"&amp;F$4&amp;ROW()-31)))),"-",INDIRECT("'"&amp;F$6&amp;"'!"&amp;F$4&amp;ROW()-31))</f>
        <v>-</v>
      </c>
      <c r="G47" s="120" t="str">
        <f ca="1" t="array" ref="G47">IF(OR(TRIM(INDIRECT("'"&amp;G$6&amp;"'!"&amp;G$4&amp;ROW()-31))="0",INDIRECT("'"&amp;G$6&amp;"'!"&amp;G$4&amp;ROW()-31)="",NOT(ISNUMBER(INDIRECT("'"&amp;G$6&amp;"'!"&amp;G$4&amp;ROW()-31)))),"-",INDIRECT("'"&amp;G$6&amp;"'!"&amp;G$4&amp;ROW()-31))</f>
        <v>-</v>
      </c>
      <c r="H47" s="120" t="str">
        <f ca="1" t="array" ref="H47">IF(OR(TRIM(INDIRECT("'"&amp;H$6&amp;"'!"&amp;H$4&amp;ROW()-31))="0",INDIRECT("'"&amp;H$6&amp;"'!"&amp;H$4&amp;ROW()-31)="",NOT(ISNUMBER(INDIRECT("'"&amp;H$6&amp;"'!"&amp;H$4&amp;ROW()-31)))),"-",INDIRECT("'"&amp;H$6&amp;"'!"&amp;H$4&amp;ROW()-31))</f>
        <v>-</v>
      </c>
      <c r="I47" s="120" t="str">
        <f ca="1" t="array" ref="I47">IF(OR(TRIM(INDIRECT("'"&amp;I$6&amp;"'!"&amp;I$4&amp;ROW()-31))="0",INDIRECT("'"&amp;I$6&amp;"'!"&amp;I$4&amp;ROW()-31)="",NOT(ISNUMBER(INDIRECT("'"&amp;I$6&amp;"'!"&amp;I$4&amp;ROW()-31)))),"-",INDIRECT("'"&amp;I$6&amp;"'!"&amp;I$4&amp;ROW()-31))</f>
        <v>-</v>
      </c>
      <c r="J47" s="120" t="str">
        <f ca="1" t="array" ref="J47">IF(OR(TRIM(INDIRECT("'"&amp;J$6&amp;"'!"&amp;J$4&amp;ROW()-31))="0",INDIRECT("'"&amp;J$6&amp;"'!"&amp;J$4&amp;ROW()-31)="",NOT(ISNUMBER(INDIRECT("'"&amp;J$6&amp;"'!"&amp;J$4&amp;ROW()-31)))),"-",INDIRECT("'"&amp;J$6&amp;"'!"&amp;J$4&amp;ROW()-31))</f>
        <v>-</v>
      </c>
      <c r="K47" s="120" t="str">
        <f ca="1" t="array" ref="K47">IF(OR(TRIM(INDIRECT("'"&amp;K$6&amp;"'!"&amp;K$4&amp;ROW()-31))="0",INDIRECT("'"&amp;K$6&amp;"'!"&amp;K$4&amp;ROW()-31)="",NOT(ISNUMBER(INDIRECT("'"&amp;K$6&amp;"'!"&amp;K$4&amp;ROW()-31)))),"-",INDIRECT("'"&amp;K$6&amp;"'!"&amp;K$4&amp;ROW()-31))</f>
        <v>-</v>
      </c>
      <c r="L47" s="120" t="str">
        <f ca="1" t="array" ref="L47">IF(OR(TRIM(INDIRECT("'"&amp;L$6&amp;"'!"&amp;L$4&amp;ROW()-31))="0",INDIRECT("'"&amp;L$6&amp;"'!"&amp;L$4&amp;ROW()-31)="",NOT(ISNUMBER(INDIRECT("'"&amp;L$6&amp;"'!"&amp;L$4&amp;ROW()-31)))),"-",INDIRECT("'"&amp;L$6&amp;"'!"&amp;L$4&amp;ROW()-31))</f>
        <v>-</v>
      </c>
      <c r="M47" s="120" t="str">
        <f ca="1" t="array" ref="M47">IF(OR(TRIM(INDIRECT("'"&amp;M$6&amp;"'!"&amp;M$4&amp;ROW()-31))="0",INDIRECT("'"&amp;M$6&amp;"'!"&amp;M$4&amp;ROW()-31)="",NOT(ISNUMBER(INDIRECT("'"&amp;M$6&amp;"'!"&amp;M$4&amp;ROW()-31)))),"-",INDIRECT("'"&amp;M$6&amp;"'!"&amp;M$4&amp;ROW()-31))</f>
        <v>-</v>
      </c>
      <c r="N47" s="31">
        <v>0</v>
      </c>
      <c r="O47" s="31">
        <v>0</v>
      </c>
    </row>
    <row r="48" s="28" customFormat="1" ht="15" customHeight="1" spans="1:18">
      <c r="A48" s="122" t="str">
        <f>'Section-Category'!A85</f>
        <v>Food</v>
      </c>
      <c r="B48" s="120" t="str">
        <f ca="1" t="array" ref="B48">IF(OR(TRIM(INDIRECT("'"&amp;B$6&amp;"'!"&amp;B$4&amp;ROW()-31))="0",INDIRECT("'"&amp;B$6&amp;"'!"&amp;B$4&amp;ROW()-31)="",NOT(ISNUMBER(INDIRECT("'"&amp;B$6&amp;"'!"&amp;B$4&amp;ROW()-31)))),"-",INDIRECT("'"&amp;B$6&amp;"'!"&amp;B$4&amp;ROW()-31))</f>
        <v>-</v>
      </c>
      <c r="C48" s="120" t="str">
        <f ca="1" t="array" ref="C48">IF(OR(TRIM(INDIRECT("'"&amp;C$6&amp;"'!"&amp;C$4&amp;ROW()-31))="0",INDIRECT("'"&amp;C$6&amp;"'!"&amp;C$4&amp;ROW()-31)="",NOT(ISNUMBER(INDIRECT("'"&amp;C$6&amp;"'!"&amp;C$4&amp;ROW()-31)))),"-",INDIRECT("'"&amp;C$6&amp;"'!"&amp;C$4&amp;ROW()-31))</f>
        <v>-</v>
      </c>
      <c r="D48" s="120" t="str">
        <f ca="1" t="array" ref="D48">IF(OR(TRIM(INDIRECT("'"&amp;D$6&amp;"'!"&amp;D$4&amp;ROW()-31))="0",INDIRECT("'"&amp;D$6&amp;"'!"&amp;D$4&amp;ROW()-31)="",NOT(ISNUMBER(INDIRECT("'"&amp;D$6&amp;"'!"&amp;D$4&amp;ROW()-31)))),"-",INDIRECT("'"&amp;D$6&amp;"'!"&amp;D$4&amp;ROW()-31))</f>
        <v>-</v>
      </c>
      <c r="E48" s="120" t="str">
        <f ca="1" t="array" ref="E48">IF(OR(TRIM(INDIRECT("'"&amp;E$6&amp;"'!"&amp;E$4&amp;ROW()-31))="0",INDIRECT("'"&amp;E$6&amp;"'!"&amp;E$4&amp;ROW()-31)="",NOT(ISNUMBER(INDIRECT("'"&amp;E$6&amp;"'!"&amp;E$4&amp;ROW()-31)))),"-",INDIRECT("'"&amp;E$6&amp;"'!"&amp;E$4&amp;ROW()-31))</f>
        <v>-</v>
      </c>
      <c r="F48" s="120" t="str">
        <f ca="1" t="array" ref="F48">IF(OR(TRIM(INDIRECT("'"&amp;F$6&amp;"'!"&amp;F$4&amp;ROW()-31))="0",INDIRECT("'"&amp;F$6&amp;"'!"&amp;F$4&amp;ROW()-31)="",NOT(ISNUMBER(INDIRECT("'"&amp;F$6&amp;"'!"&amp;F$4&amp;ROW()-31)))),"-",INDIRECT("'"&amp;F$6&amp;"'!"&amp;F$4&amp;ROW()-31))</f>
        <v>-</v>
      </c>
      <c r="G48" s="120" t="str">
        <f ca="1" t="array" ref="G48">IF(OR(TRIM(INDIRECT("'"&amp;G$6&amp;"'!"&amp;G$4&amp;ROW()-31))="0",INDIRECT("'"&amp;G$6&amp;"'!"&amp;G$4&amp;ROW()-31)="",NOT(ISNUMBER(INDIRECT("'"&amp;G$6&amp;"'!"&amp;G$4&amp;ROW()-31)))),"-",INDIRECT("'"&amp;G$6&amp;"'!"&amp;G$4&amp;ROW()-31))</f>
        <v>-</v>
      </c>
      <c r="H48" s="120" t="str">
        <f ca="1" t="array" ref="H48">IF(OR(TRIM(INDIRECT("'"&amp;H$6&amp;"'!"&amp;H$4&amp;ROW()-31))="0",INDIRECT("'"&amp;H$6&amp;"'!"&amp;H$4&amp;ROW()-31)="",NOT(ISNUMBER(INDIRECT("'"&amp;H$6&amp;"'!"&amp;H$4&amp;ROW()-31)))),"-",INDIRECT("'"&amp;H$6&amp;"'!"&amp;H$4&amp;ROW()-31))</f>
        <v>-</v>
      </c>
      <c r="I48" s="120" t="str">
        <f ca="1" t="array" ref="I48">IF(OR(TRIM(INDIRECT("'"&amp;I$6&amp;"'!"&amp;I$4&amp;ROW()-31))="0",INDIRECT("'"&amp;I$6&amp;"'!"&amp;I$4&amp;ROW()-31)="",NOT(ISNUMBER(INDIRECT("'"&amp;I$6&amp;"'!"&amp;I$4&amp;ROW()-31)))),"-",INDIRECT("'"&amp;I$6&amp;"'!"&amp;I$4&amp;ROW()-31))</f>
        <v>-</v>
      </c>
      <c r="J48" s="120" t="str">
        <f ca="1" t="array" ref="J48">IF(OR(TRIM(INDIRECT("'"&amp;J$6&amp;"'!"&amp;J$4&amp;ROW()-31))="0",INDIRECT("'"&amp;J$6&amp;"'!"&amp;J$4&amp;ROW()-31)="",NOT(ISNUMBER(INDIRECT("'"&amp;J$6&amp;"'!"&amp;J$4&amp;ROW()-31)))),"-",INDIRECT("'"&amp;J$6&amp;"'!"&amp;J$4&amp;ROW()-31))</f>
        <v>-</v>
      </c>
      <c r="K48" s="120" t="str">
        <f ca="1" t="array" ref="K48">IF(OR(TRIM(INDIRECT("'"&amp;K$6&amp;"'!"&amp;K$4&amp;ROW()-31))="0",INDIRECT("'"&amp;K$6&amp;"'!"&amp;K$4&amp;ROW()-31)="",NOT(ISNUMBER(INDIRECT("'"&amp;K$6&amp;"'!"&amp;K$4&amp;ROW()-31)))),"-",INDIRECT("'"&amp;K$6&amp;"'!"&amp;K$4&amp;ROW()-31))</f>
        <v>-</v>
      </c>
      <c r="L48" s="120" t="str">
        <f ca="1" t="array" ref="L48">IF(OR(TRIM(INDIRECT("'"&amp;L$6&amp;"'!"&amp;L$4&amp;ROW()-31))="0",INDIRECT("'"&amp;L$6&amp;"'!"&amp;L$4&amp;ROW()-31)="",NOT(ISNUMBER(INDIRECT("'"&amp;L$6&amp;"'!"&amp;L$4&amp;ROW()-31)))),"-",INDIRECT("'"&amp;L$6&amp;"'!"&amp;L$4&amp;ROW()-31))</f>
        <v>-</v>
      </c>
      <c r="M48" s="120" t="str">
        <f ca="1" t="array" ref="M48">IF(OR(TRIM(INDIRECT("'"&amp;M$6&amp;"'!"&amp;M$4&amp;ROW()-31))="0",INDIRECT("'"&amp;M$6&amp;"'!"&amp;M$4&amp;ROW()-31)="",NOT(ISNUMBER(INDIRECT("'"&amp;M$6&amp;"'!"&amp;M$4&amp;ROW()-31)))),"-",INDIRECT("'"&amp;M$6&amp;"'!"&amp;M$4&amp;ROW()-31))</f>
        <v>-</v>
      </c>
      <c r="N48" s="31">
        <v>0</v>
      </c>
      <c r="O48" s="31">
        <v>0</v>
      </c>
    </row>
    <row r="49" s="28" customFormat="1" ht="15" customHeight="1" spans="1:15">
      <c r="A49" s="122" t="str">
        <f>'Section-Category'!A86</f>
        <v>Donation</v>
      </c>
      <c r="B49" s="120" t="str">
        <f ca="1" t="array" ref="B49">IF(OR(TRIM(INDIRECT("'"&amp;B$6&amp;"'!"&amp;B$4&amp;ROW()-31))="0",INDIRECT("'"&amp;B$6&amp;"'!"&amp;B$4&amp;ROW()-31)="",NOT(ISNUMBER(INDIRECT("'"&amp;B$6&amp;"'!"&amp;B$4&amp;ROW()-31)))),"-",INDIRECT("'"&amp;B$6&amp;"'!"&amp;B$4&amp;ROW()-31))</f>
        <v>-</v>
      </c>
      <c r="C49" s="120" t="str">
        <f ca="1" t="array" ref="C49">IF(OR(TRIM(INDIRECT("'"&amp;C$6&amp;"'!"&amp;C$4&amp;ROW()-31))="0",INDIRECT("'"&amp;C$6&amp;"'!"&amp;C$4&amp;ROW()-31)="",NOT(ISNUMBER(INDIRECT("'"&amp;C$6&amp;"'!"&amp;C$4&amp;ROW()-31)))),"-",INDIRECT("'"&amp;C$6&amp;"'!"&amp;C$4&amp;ROW()-31))</f>
        <v>-</v>
      </c>
      <c r="D49" s="120" t="str">
        <f ca="1" t="array" ref="D49">IF(OR(TRIM(INDIRECT("'"&amp;D$6&amp;"'!"&amp;D$4&amp;ROW()-31))="0",INDIRECT("'"&amp;D$6&amp;"'!"&amp;D$4&amp;ROW()-31)="",NOT(ISNUMBER(INDIRECT("'"&amp;D$6&amp;"'!"&amp;D$4&amp;ROW()-31)))),"-",INDIRECT("'"&amp;D$6&amp;"'!"&amp;D$4&amp;ROW()-31))</f>
        <v>-</v>
      </c>
      <c r="E49" s="120" t="str">
        <f ca="1" t="array" ref="E49">IF(OR(TRIM(INDIRECT("'"&amp;E$6&amp;"'!"&amp;E$4&amp;ROW()-31))="0",INDIRECT("'"&amp;E$6&amp;"'!"&amp;E$4&amp;ROW()-31)="",NOT(ISNUMBER(INDIRECT("'"&amp;E$6&amp;"'!"&amp;E$4&amp;ROW()-31)))),"-",INDIRECT("'"&amp;E$6&amp;"'!"&amp;E$4&amp;ROW()-31))</f>
        <v>-</v>
      </c>
      <c r="F49" s="120" t="str">
        <f ca="1" t="array" ref="F49">IF(OR(TRIM(INDIRECT("'"&amp;F$6&amp;"'!"&amp;F$4&amp;ROW()-31))="0",INDIRECT("'"&amp;F$6&amp;"'!"&amp;F$4&amp;ROW()-31)="",NOT(ISNUMBER(INDIRECT("'"&amp;F$6&amp;"'!"&amp;F$4&amp;ROW()-31)))),"-",INDIRECT("'"&amp;F$6&amp;"'!"&amp;F$4&amp;ROW()-31))</f>
        <v>-</v>
      </c>
      <c r="G49" s="120" t="str">
        <f ca="1" t="array" ref="G49">IF(OR(TRIM(INDIRECT("'"&amp;G$6&amp;"'!"&amp;G$4&amp;ROW()-31))="0",INDIRECT("'"&amp;G$6&amp;"'!"&amp;G$4&amp;ROW()-31)="",NOT(ISNUMBER(INDIRECT("'"&amp;G$6&amp;"'!"&amp;G$4&amp;ROW()-31)))),"-",INDIRECT("'"&amp;G$6&amp;"'!"&amp;G$4&amp;ROW()-31))</f>
        <v>-</v>
      </c>
      <c r="H49" s="120" t="str">
        <f ca="1" t="array" ref="H49">IF(OR(TRIM(INDIRECT("'"&amp;H$6&amp;"'!"&amp;H$4&amp;ROW()-31))="0",INDIRECT("'"&amp;H$6&amp;"'!"&amp;H$4&amp;ROW()-31)="",NOT(ISNUMBER(INDIRECT("'"&amp;H$6&amp;"'!"&amp;H$4&amp;ROW()-31)))),"-",INDIRECT("'"&amp;H$6&amp;"'!"&amp;H$4&amp;ROW()-31))</f>
        <v>-</v>
      </c>
      <c r="I49" s="120" t="str">
        <f ca="1" t="array" ref="I49">IF(OR(TRIM(INDIRECT("'"&amp;I$6&amp;"'!"&amp;I$4&amp;ROW()-31))="0",INDIRECT("'"&amp;I$6&amp;"'!"&amp;I$4&amp;ROW()-31)="",NOT(ISNUMBER(INDIRECT("'"&amp;I$6&amp;"'!"&amp;I$4&amp;ROW()-31)))),"-",INDIRECT("'"&amp;I$6&amp;"'!"&amp;I$4&amp;ROW()-31))</f>
        <v>-</v>
      </c>
      <c r="J49" s="120" t="str">
        <f ca="1" t="array" ref="J49">IF(OR(TRIM(INDIRECT("'"&amp;J$6&amp;"'!"&amp;J$4&amp;ROW()-31))="0",INDIRECT("'"&amp;J$6&amp;"'!"&amp;J$4&amp;ROW()-31)="",NOT(ISNUMBER(INDIRECT("'"&amp;J$6&amp;"'!"&amp;J$4&amp;ROW()-31)))),"-",INDIRECT("'"&amp;J$6&amp;"'!"&amp;J$4&amp;ROW()-31))</f>
        <v>-</v>
      </c>
      <c r="K49" s="120" t="str">
        <f ca="1" t="array" ref="K49">IF(OR(TRIM(INDIRECT("'"&amp;K$6&amp;"'!"&amp;K$4&amp;ROW()-31))="0",INDIRECT("'"&amp;K$6&amp;"'!"&amp;K$4&amp;ROW()-31)="",NOT(ISNUMBER(INDIRECT("'"&amp;K$6&amp;"'!"&amp;K$4&amp;ROW()-31)))),"-",INDIRECT("'"&amp;K$6&amp;"'!"&amp;K$4&amp;ROW()-31))</f>
        <v>-</v>
      </c>
      <c r="L49" s="120" t="str">
        <f ca="1" t="array" ref="L49">IF(OR(TRIM(INDIRECT("'"&amp;L$6&amp;"'!"&amp;L$4&amp;ROW()-31))="0",INDIRECT("'"&amp;L$6&amp;"'!"&amp;L$4&amp;ROW()-31)="",NOT(ISNUMBER(INDIRECT("'"&amp;L$6&amp;"'!"&amp;L$4&amp;ROW()-31)))),"-",INDIRECT("'"&amp;L$6&amp;"'!"&amp;L$4&amp;ROW()-31))</f>
        <v>-</v>
      </c>
      <c r="M49" s="120" t="str">
        <f ca="1" t="array" ref="M49">IF(OR(TRIM(INDIRECT("'"&amp;M$6&amp;"'!"&amp;M$4&amp;ROW()-31))="0",INDIRECT("'"&amp;M$6&amp;"'!"&amp;M$4&amp;ROW()-31)="",NOT(ISNUMBER(INDIRECT("'"&amp;M$6&amp;"'!"&amp;M$4&amp;ROW()-31)))),"-",INDIRECT("'"&amp;M$6&amp;"'!"&amp;M$4&amp;ROW()-31))</f>
        <v>-</v>
      </c>
      <c r="N49" s="31">
        <v>0</v>
      </c>
      <c r="O49" s="31">
        <v>0</v>
      </c>
    </row>
    <row r="50" s="28" customFormat="1" ht="15" customHeight="1" spans="1:15">
      <c r="A50" s="122" t="str">
        <f>'Section-Category'!A87</f>
        <v>Medical</v>
      </c>
      <c r="B50" s="120" t="str">
        <f ca="1" t="array" ref="B50">IF(OR(TRIM(INDIRECT("'"&amp;B$6&amp;"'!"&amp;B$4&amp;ROW()-31))="0",INDIRECT("'"&amp;B$6&amp;"'!"&amp;B$4&amp;ROW()-31)="",NOT(ISNUMBER(INDIRECT("'"&amp;B$6&amp;"'!"&amp;B$4&amp;ROW()-31)))),"-",INDIRECT("'"&amp;B$6&amp;"'!"&amp;B$4&amp;ROW()-31))</f>
        <v>-</v>
      </c>
      <c r="C50" s="120" t="str">
        <f ca="1" t="array" ref="C50">IF(OR(TRIM(INDIRECT("'"&amp;C$6&amp;"'!"&amp;C$4&amp;ROW()-31))="0",INDIRECT("'"&amp;C$6&amp;"'!"&amp;C$4&amp;ROW()-31)="",NOT(ISNUMBER(INDIRECT("'"&amp;C$6&amp;"'!"&amp;C$4&amp;ROW()-31)))),"-",INDIRECT("'"&amp;C$6&amp;"'!"&amp;C$4&amp;ROW()-31))</f>
        <v>-</v>
      </c>
      <c r="D50" s="120" t="str">
        <f ca="1" t="array" ref="D50">IF(OR(TRIM(INDIRECT("'"&amp;D$6&amp;"'!"&amp;D$4&amp;ROW()-31))="0",INDIRECT("'"&amp;D$6&amp;"'!"&amp;D$4&amp;ROW()-31)="",NOT(ISNUMBER(INDIRECT("'"&amp;D$6&amp;"'!"&amp;D$4&amp;ROW()-31)))),"-",INDIRECT("'"&amp;D$6&amp;"'!"&amp;D$4&amp;ROW()-31))</f>
        <v>-</v>
      </c>
      <c r="E50" s="120" t="str">
        <f ca="1" t="array" ref="E50">IF(OR(TRIM(INDIRECT("'"&amp;E$6&amp;"'!"&amp;E$4&amp;ROW()-31))="0",INDIRECT("'"&amp;E$6&amp;"'!"&amp;E$4&amp;ROW()-31)="",NOT(ISNUMBER(INDIRECT("'"&amp;E$6&amp;"'!"&amp;E$4&amp;ROW()-31)))),"-",INDIRECT("'"&amp;E$6&amp;"'!"&amp;E$4&amp;ROW()-31))</f>
        <v>-</v>
      </c>
      <c r="F50" s="120" t="str">
        <f ca="1" t="array" ref="F50">IF(OR(TRIM(INDIRECT("'"&amp;F$6&amp;"'!"&amp;F$4&amp;ROW()-31))="0",INDIRECT("'"&amp;F$6&amp;"'!"&amp;F$4&amp;ROW()-31)="",NOT(ISNUMBER(INDIRECT("'"&amp;F$6&amp;"'!"&amp;F$4&amp;ROW()-31)))),"-",INDIRECT("'"&amp;F$6&amp;"'!"&amp;F$4&amp;ROW()-31))</f>
        <v>-</v>
      </c>
      <c r="G50" s="120" t="str">
        <f ca="1" t="array" ref="G50">IF(OR(TRIM(INDIRECT("'"&amp;G$6&amp;"'!"&amp;G$4&amp;ROW()-31))="0",INDIRECT("'"&amp;G$6&amp;"'!"&amp;G$4&amp;ROW()-31)="",NOT(ISNUMBER(INDIRECT("'"&amp;G$6&amp;"'!"&amp;G$4&amp;ROW()-31)))),"-",INDIRECT("'"&amp;G$6&amp;"'!"&amp;G$4&amp;ROW()-31))</f>
        <v>-</v>
      </c>
      <c r="H50" s="120" t="str">
        <f ca="1" t="array" ref="H50">IF(OR(TRIM(INDIRECT("'"&amp;H$6&amp;"'!"&amp;H$4&amp;ROW()-31))="0",INDIRECT("'"&amp;H$6&amp;"'!"&amp;H$4&amp;ROW()-31)="",NOT(ISNUMBER(INDIRECT("'"&amp;H$6&amp;"'!"&amp;H$4&amp;ROW()-31)))),"-",INDIRECT("'"&amp;H$6&amp;"'!"&amp;H$4&amp;ROW()-31))</f>
        <v>-</v>
      </c>
      <c r="I50" s="120" t="str">
        <f ca="1" t="array" ref="I50">IF(OR(TRIM(INDIRECT("'"&amp;I$6&amp;"'!"&amp;I$4&amp;ROW()-31))="0",INDIRECT("'"&amp;I$6&amp;"'!"&amp;I$4&amp;ROW()-31)="",NOT(ISNUMBER(INDIRECT("'"&amp;I$6&amp;"'!"&amp;I$4&amp;ROW()-31)))),"-",INDIRECT("'"&amp;I$6&amp;"'!"&amp;I$4&amp;ROW()-31))</f>
        <v>-</v>
      </c>
      <c r="J50" s="120" t="str">
        <f ca="1" t="array" ref="J50">IF(OR(TRIM(INDIRECT("'"&amp;J$6&amp;"'!"&amp;J$4&amp;ROW()-31))="0",INDIRECT("'"&amp;J$6&amp;"'!"&amp;J$4&amp;ROW()-31)="",NOT(ISNUMBER(INDIRECT("'"&amp;J$6&amp;"'!"&amp;J$4&amp;ROW()-31)))),"-",INDIRECT("'"&amp;J$6&amp;"'!"&amp;J$4&amp;ROW()-31))</f>
        <v>-</v>
      </c>
      <c r="K50" s="120" t="str">
        <f ca="1" t="array" ref="K50">IF(OR(TRIM(INDIRECT("'"&amp;K$6&amp;"'!"&amp;K$4&amp;ROW()-31))="0",INDIRECT("'"&amp;K$6&amp;"'!"&amp;K$4&amp;ROW()-31)="",NOT(ISNUMBER(INDIRECT("'"&amp;K$6&amp;"'!"&amp;K$4&amp;ROW()-31)))),"-",INDIRECT("'"&amp;K$6&amp;"'!"&amp;K$4&amp;ROW()-31))</f>
        <v>-</v>
      </c>
      <c r="L50" s="120" t="str">
        <f ca="1" t="array" ref="L50">IF(OR(TRIM(INDIRECT("'"&amp;L$6&amp;"'!"&amp;L$4&amp;ROW()-31))="0",INDIRECT("'"&amp;L$6&amp;"'!"&amp;L$4&amp;ROW()-31)="",NOT(ISNUMBER(INDIRECT("'"&amp;L$6&amp;"'!"&amp;L$4&amp;ROW()-31)))),"-",INDIRECT("'"&amp;L$6&amp;"'!"&amp;L$4&amp;ROW()-31))</f>
        <v>-</v>
      </c>
      <c r="M50" s="120" t="str">
        <f ca="1" t="array" ref="M50">IF(OR(TRIM(INDIRECT("'"&amp;M$6&amp;"'!"&amp;M$4&amp;ROW()-31))="0",INDIRECT("'"&amp;M$6&amp;"'!"&amp;M$4&amp;ROW()-31)="",NOT(ISNUMBER(INDIRECT("'"&amp;M$6&amp;"'!"&amp;M$4&amp;ROW()-31)))),"-",INDIRECT("'"&amp;M$6&amp;"'!"&amp;M$4&amp;ROW()-31))</f>
        <v>-</v>
      </c>
      <c r="N50" s="31">
        <v>0</v>
      </c>
      <c r="O50" s="31">
        <v>0</v>
      </c>
    </row>
    <row r="51" s="28" customFormat="1" ht="15" customHeight="1" spans="1:15">
      <c r="A51" s="122" t="str">
        <f>'Section-Category'!A88</f>
        <v>Donation</v>
      </c>
      <c r="B51" s="120" t="str">
        <f ca="1" t="array" ref="B51">IF(OR(TRIM(INDIRECT("'"&amp;B$6&amp;"'!"&amp;B$4&amp;ROW()-31))="0",INDIRECT("'"&amp;B$6&amp;"'!"&amp;B$4&amp;ROW()-31)="",NOT(ISNUMBER(INDIRECT("'"&amp;B$6&amp;"'!"&amp;B$4&amp;ROW()-31)))),"-",INDIRECT("'"&amp;B$6&amp;"'!"&amp;B$4&amp;ROW()-31))</f>
        <v>-</v>
      </c>
      <c r="C51" s="120" t="str">
        <f ca="1" t="array" ref="C51">IF(OR(TRIM(INDIRECT("'"&amp;C$6&amp;"'!"&amp;C$4&amp;ROW()-31))="0",INDIRECT("'"&amp;C$6&amp;"'!"&amp;C$4&amp;ROW()-31)="",NOT(ISNUMBER(INDIRECT("'"&amp;C$6&amp;"'!"&amp;C$4&amp;ROW()-31)))),"-",INDIRECT("'"&amp;C$6&amp;"'!"&amp;C$4&amp;ROW()-31))</f>
        <v>-</v>
      </c>
      <c r="D51" s="120" t="str">
        <f ca="1" t="array" ref="D51">IF(OR(TRIM(INDIRECT("'"&amp;D$6&amp;"'!"&amp;D$4&amp;ROW()-31))="0",INDIRECT("'"&amp;D$6&amp;"'!"&amp;D$4&amp;ROW()-31)="",NOT(ISNUMBER(INDIRECT("'"&amp;D$6&amp;"'!"&amp;D$4&amp;ROW()-31)))),"-",INDIRECT("'"&amp;D$6&amp;"'!"&amp;D$4&amp;ROW()-31))</f>
        <v>-</v>
      </c>
      <c r="E51" s="120" t="str">
        <f ca="1" t="array" ref="E51">IF(OR(TRIM(INDIRECT("'"&amp;E$6&amp;"'!"&amp;E$4&amp;ROW()-31))="0",INDIRECT("'"&amp;E$6&amp;"'!"&amp;E$4&amp;ROW()-31)="",NOT(ISNUMBER(INDIRECT("'"&amp;E$6&amp;"'!"&amp;E$4&amp;ROW()-31)))),"-",INDIRECT("'"&amp;E$6&amp;"'!"&amp;E$4&amp;ROW()-31))</f>
        <v>-</v>
      </c>
      <c r="F51" s="120" t="str">
        <f ca="1" t="array" ref="F51">IF(OR(TRIM(INDIRECT("'"&amp;F$6&amp;"'!"&amp;F$4&amp;ROW()-31))="0",INDIRECT("'"&amp;F$6&amp;"'!"&amp;F$4&amp;ROW()-31)="",NOT(ISNUMBER(INDIRECT("'"&amp;F$6&amp;"'!"&amp;F$4&amp;ROW()-31)))),"-",INDIRECT("'"&amp;F$6&amp;"'!"&amp;F$4&amp;ROW()-31))</f>
        <v>-</v>
      </c>
      <c r="G51" s="120" t="str">
        <f ca="1" t="array" ref="G51">IF(OR(TRIM(INDIRECT("'"&amp;G$6&amp;"'!"&amp;G$4&amp;ROW()-31))="0",INDIRECT("'"&amp;G$6&amp;"'!"&amp;G$4&amp;ROW()-31)="",NOT(ISNUMBER(INDIRECT("'"&amp;G$6&amp;"'!"&amp;G$4&amp;ROW()-31)))),"-",INDIRECT("'"&amp;G$6&amp;"'!"&amp;G$4&amp;ROW()-31))</f>
        <v>-</v>
      </c>
      <c r="H51" s="120" t="str">
        <f ca="1" t="array" ref="H51">IF(OR(TRIM(INDIRECT("'"&amp;H$6&amp;"'!"&amp;H$4&amp;ROW()-31))="0",INDIRECT("'"&amp;H$6&amp;"'!"&amp;H$4&amp;ROW()-31)="",NOT(ISNUMBER(INDIRECT("'"&amp;H$6&amp;"'!"&amp;H$4&amp;ROW()-31)))),"-",INDIRECT("'"&amp;H$6&amp;"'!"&amp;H$4&amp;ROW()-31))</f>
        <v>-</v>
      </c>
      <c r="I51" s="120" t="str">
        <f ca="1" t="array" ref="I51">IF(OR(TRIM(INDIRECT("'"&amp;I$6&amp;"'!"&amp;I$4&amp;ROW()-31))="0",INDIRECT("'"&amp;I$6&amp;"'!"&amp;I$4&amp;ROW()-31)="",NOT(ISNUMBER(INDIRECT("'"&amp;I$6&amp;"'!"&amp;I$4&amp;ROW()-31)))),"-",INDIRECT("'"&amp;I$6&amp;"'!"&amp;I$4&amp;ROW()-31))</f>
        <v>-</v>
      </c>
      <c r="J51" s="120" t="str">
        <f ca="1" t="array" ref="J51">IF(OR(TRIM(INDIRECT("'"&amp;J$6&amp;"'!"&amp;J$4&amp;ROW()-31))="0",INDIRECT("'"&amp;J$6&amp;"'!"&amp;J$4&amp;ROW()-31)="",NOT(ISNUMBER(INDIRECT("'"&amp;J$6&amp;"'!"&amp;J$4&amp;ROW()-31)))),"-",INDIRECT("'"&amp;J$6&amp;"'!"&amp;J$4&amp;ROW()-31))</f>
        <v>-</v>
      </c>
      <c r="K51" s="120" t="str">
        <f ca="1" t="array" ref="K51">IF(OR(TRIM(INDIRECT("'"&amp;K$6&amp;"'!"&amp;K$4&amp;ROW()-31))="0",INDIRECT("'"&amp;K$6&amp;"'!"&amp;K$4&amp;ROW()-31)="",NOT(ISNUMBER(INDIRECT("'"&amp;K$6&amp;"'!"&amp;K$4&amp;ROW()-31)))),"-",INDIRECT("'"&amp;K$6&amp;"'!"&amp;K$4&amp;ROW()-31))</f>
        <v>-</v>
      </c>
      <c r="L51" s="120" t="str">
        <f ca="1" t="array" ref="L51">IF(OR(TRIM(INDIRECT("'"&amp;L$6&amp;"'!"&amp;L$4&amp;ROW()-31))="0",INDIRECT("'"&amp;L$6&amp;"'!"&amp;L$4&amp;ROW()-31)="",NOT(ISNUMBER(INDIRECT("'"&amp;L$6&amp;"'!"&amp;L$4&amp;ROW()-31)))),"-",INDIRECT("'"&amp;L$6&amp;"'!"&amp;L$4&amp;ROW()-31))</f>
        <v>-</v>
      </c>
      <c r="M51" s="120" t="str">
        <f ca="1" t="array" ref="M51">IF(OR(TRIM(INDIRECT("'"&amp;M$6&amp;"'!"&amp;M$4&amp;ROW()-31))="0",INDIRECT("'"&amp;M$6&amp;"'!"&amp;M$4&amp;ROW()-31)="",NOT(ISNUMBER(INDIRECT("'"&amp;M$6&amp;"'!"&amp;M$4&amp;ROW()-31)))),"-",INDIRECT("'"&amp;M$6&amp;"'!"&amp;M$4&amp;ROW()-31))</f>
        <v>-</v>
      </c>
      <c r="N51" s="31">
        <v>0</v>
      </c>
      <c r="O51" s="31">
        <v>0</v>
      </c>
    </row>
    <row r="52" s="28" customFormat="1" ht="15" customHeight="1" spans="1:15">
      <c r="A52" s="122" t="str">
        <f>'Section-Category'!A89</f>
        <v>Pocket Money Husband</v>
      </c>
      <c r="B52" s="120" t="str">
        <f ca="1" t="array" ref="B52">IF(OR(TRIM(INDIRECT("'"&amp;B$6&amp;"'!"&amp;B$4&amp;ROW()-31))="0",INDIRECT("'"&amp;B$6&amp;"'!"&amp;B$4&amp;ROW()-31)="",NOT(ISNUMBER(INDIRECT("'"&amp;B$6&amp;"'!"&amp;B$4&amp;ROW()-31)))),"-",INDIRECT("'"&amp;B$6&amp;"'!"&amp;B$4&amp;ROW()-31))</f>
        <v>-</v>
      </c>
      <c r="C52" s="120" t="str">
        <f ca="1" t="array" ref="C52">IF(OR(TRIM(INDIRECT("'"&amp;C$6&amp;"'!"&amp;C$4&amp;ROW()-31))="0",INDIRECT("'"&amp;C$6&amp;"'!"&amp;C$4&amp;ROW()-31)="",NOT(ISNUMBER(INDIRECT("'"&amp;C$6&amp;"'!"&amp;C$4&amp;ROW()-31)))),"-",INDIRECT("'"&amp;C$6&amp;"'!"&amp;C$4&amp;ROW()-31))</f>
        <v>-</v>
      </c>
      <c r="D52" s="120" t="str">
        <f ca="1" t="array" ref="D52">IF(OR(TRIM(INDIRECT("'"&amp;D$6&amp;"'!"&amp;D$4&amp;ROW()-31))="0",INDIRECT("'"&amp;D$6&amp;"'!"&amp;D$4&amp;ROW()-31)="",NOT(ISNUMBER(INDIRECT("'"&amp;D$6&amp;"'!"&amp;D$4&amp;ROW()-31)))),"-",INDIRECT("'"&amp;D$6&amp;"'!"&amp;D$4&amp;ROW()-31))</f>
        <v>-</v>
      </c>
      <c r="E52" s="120" t="str">
        <f ca="1" t="array" ref="E52">IF(OR(TRIM(INDIRECT("'"&amp;E$6&amp;"'!"&amp;E$4&amp;ROW()-31))="0",INDIRECT("'"&amp;E$6&amp;"'!"&amp;E$4&amp;ROW()-31)="",NOT(ISNUMBER(INDIRECT("'"&amp;E$6&amp;"'!"&amp;E$4&amp;ROW()-31)))),"-",INDIRECT("'"&amp;E$6&amp;"'!"&amp;E$4&amp;ROW()-31))</f>
        <v>-</v>
      </c>
      <c r="F52" s="120" t="str">
        <f ca="1" t="array" ref="F52">IF(OR(TRIM(INDIRECT("'"&amp;F$6&amp;"'!"&amp;F$4&amp;ROW()-31))="0",INDIRECT("'"&amp;F$6&amp;"'!"&amp;F$4&amp;ROW()-31)="",NOT(ISNUMBER(INDIRECT("'"&amp;F$6&amp;"'!"&amp;F$4&amp;ROW()-31)))),"-",INDIRECT("'"&amp;F$6&amp;"'!"&amp;F$4&amp;ROW()-31))</f>
        <v>-</v>
      </c>
      <c r="G52" s="120" t="str">
        <f ca="1" t="array" ref="G52">IF(OR(TRIM(INDIRECT("'"&amp;G$6&amp;"'!"&amp;G$4&amp;ROW()-31))="0",INDIRECT("'"&amp;G$6&amp;"'!"&amp;G$4&amp;ROW()-31)="",NOT(ISNUMBER(INDIRECT("'"&amp;G$6&amp;"'!"&amp;G$4&amp;ROW()-31)))),"-",INDIRECT("'"&amp;G$6&amp;"'!"&amp;G$4&amp;ROW()-31))</f>
        <v>-</v>
      </c>
      <c r="H52" s="120" t="str">
        <f ca="1" t="array" ref="H52">IF(OR(TRIM(INDIRECT("'"&amp;H$6&amp;"'!"&amp;H$4&amp;ROW()-31))="0",INDIRECT("'"&amp;H$6&amp;"'!"&amp;H$4&amp;ROW()-31)="",NOT(ISNUMBER(INDIRECT("'"&amp;H$6&amp;"'!"&amp;H$4&amp;ROW()-31)))),"-",INDIRECT("'"&amp;H$6&amp;"'!"&amp;H$4&amp;ROW()-31))</f>
        <v>-</v>
      </c>
      <c r="I52" s="120" t="str">
        <f ca="1" t="array" ref="I52">IF(OR(TRIM(INDIRECT("'"&amp;I$6&amp;"'!"&amp;I$4&amp;ROW()-31))="0",INDIRECT("'"&amp;I$6&amp;"'!"&amp;I$4&amp;ROW()-31)="",NOT(ISNUMBER(INDIRECT("'"&amp;I$6&amp;"'!"&amp;I$4&amp;ROW()-31)))),"-",INDIRECT("'"&amp;I$6&amp;"'!"&amp;I$4&amp;ROW()-31))</f>
        <v>-</v>
      </c>
      <c r="J52" s="120" t="str">
        <f ca="1" t="array" ref="J52">IF(OR(TRIM(INDIRECT("'"&amp;J$6&amp;"'!"&amp;J$4&amp;ROW()-31))="0",INDIRECT("'"&amp;J$6&amp;"'!"&amp;J$4&amp;ROW()-31)="",NOT(ISNUMBER(INDIRECT("'"&amp;J$6&amp;"'!"&amp;J$4&amp;ROW()-31)))),"-",INDIRECT("'"&amp;J$6&amp;"'!"&amp;J$4&amp;ROW()-31))</f>
        <v>-</v>
      </c>
      <c r="K52" s="120" t="str">
        <f ca="1" t="array" ref="K52">IF(OR(TRIM(INDIRECT("'"&amp;K$6&amp;"'!"&amp;K$4&amp;ROW()-31))="0",INDIRECT("'"&amp;K$6&amp;"'!"&amp;K$4&amp;ROW()-31)="",NOT(ISNUMBER(INDIRECT("'"&amp;K$6&amp;"'!"&amp;K$4&amp;ROW()-31)))),"-",INDIRECT("'"&amp;K$6&amp;"'!"&amp;K$4&amp;ROW()-31))</f>
        <v>-</v>
      </c>
      <c r="L52" s="120" t="str">
        <f ca="1" t="array" ref="L52">IF(OR(TRIM(INDIRECT("'"&amp;L$6&amp;"'!"&amp;L$4&amp;ROW()-31))="0",INDIRECT("'"&amp;L$6&amp;"'!"&amp;L$4&amp;ROW()-31)="",NOT(ISNUMBER(INDIRECT("'"&amp;L$6&amp;"'!"&amp;L$4&amp;ROW()-31)))),"-",INDIRECT("'"&amp;L$6&amp;"'!"&amp;L$4&amp;ROW()-31))</f>
        <v>-</v>
      </c>
      <c r="M52" s="120" t="str">
        <f ca="1" t="array" ref="M52">IF(OR(TRIM(INDIRECT("'"&amp;M$6&amp;"'!"&amp;M$4&amp;ROW()-31))="0",INDIRECT("'"&amp;M$6&amp;"'!"&amp;M$4&amp;ROW()-31)="",NOT(ISNUMBER(INDIRECT("'"&amp;M$6&amp;"'!"&amp;M$4&amp;ROW()-31)))),"-",INDIRECT("'"&amp;M$6&amp;"'!"&amp;M$4&amp;ROW()-31))</f>
        <v>-</v>
      </c>
      <c r="N52" s="31">
        <v>0</v>
      </c>
      <c r="O52" s="31">
        <v>0</v>
      </c>
    </row>
    <row r="53" s="28" customFormat="1" ht="15.75" customHeight="1" spans="1:15">
      <c r="A53" s="122" t="str">
        <f>'Section-Category'!A90</f>
        <v>Other</v>
      </c>
      <c r="B53" s="120" t="str">
        <f ca="1" t="array" ref="B53">IF(OR(TRIM(INDIRECT("'"&amp;B$6&amp;"'!"&amp;B$4&amp;ROW()-31))="0",INDIRECT("'"&amp;B$6&amp;"'!"&amp;B$4&amp;ROW()-31)="",NOT(ISNUMBER(INDIRECT("'"&amp;B$6&amp;"'!"&amp;B$4&amp;ROW()-31)))),"-",INDIRECT("'"&amp;B$6&amp;"'!"&amp;B$4&amp;ROW()-31))</f>
        <v>-</v>
      </c>
      <c r="C53" s="120" t="str">
        <f ca="1" t="array" ref="C53">IF(OR(TRIM(INDIRECT("'"&amp;C$6&amp;"'!"&amp;C$4&amp;ROW()-31))="0",INDIRECT("'"&amp;C$6&amp;"'!"&amp;C$4&amp;ROW()-31)="",NOT(ISNUMBER(INDIRECT("'"&amp;C$6&amp;"'!"&amp;C$4&amp;ROW()-31)))),"-",INDIRECT("'"&amp;C$6&amp;"'!"&amp;C$4&amp;ROW()-31))</f>
        <v>-</v>
      </c>
      <c r="D53" s="120" t="str">
        <f ca="1" t="array" ref="D53">IF(OR(TRIM(INDIRECT("'"&amp;D$6&amp;"'!"&amp;D$4&amp;ROW()-31))="0",INDIRECT("'"&amp;D$6&amp;"'!"&amp;D$4&amp;ROW()-31)="",NOT(ISNUMBER(INDIRECT("'"&amp;D$6&amp;"'!"&amp;D$4&amp;ROW()-31)))),"-",INDIRECT("'"&amp;D$6&amp;"'!"&amp;D$4&amp;ROW()-31))</f>
        <v>-</v>
      </c>
      <c r="E53" s="120" t="str">
        <f ca="1" t="array" ref="E53">IF(OR(TRIM(INDIRECT("'"&amp;E$6&amp;"'!"&amp;E$4&amp;ROW()-31))="0",INDIRECT("'"&amp;E$6&amp;"'!"&amp;E$4&amp;ROW()-31)="",NOT(ISNUMBER(INDIRECT("'"&amp;E$6&amp;"'!"&amp;E$4&amp;ROW()-31)))),"-",INDIRECT("'"&amp;E$6&amp;"'!"&amp;E$4&amp;ROW()-31))</f>
        <v>-</v>
      </c>
      <c r="F53" s="120" t="str">
        <f ca="1" t="array" ref="F53">IF(OR(TRIM(INDIRECT("'"&amp;F$6&amp;"'!"&amp;F$4&amp;ROW()-31))="0",INDIRECT("'"&amp;F$6&amp;"'!"&amp;F$4&amp;ROW()-31)="",NOT(ISNUMBER(INDIRECT("'"&amp;F$6&amp;"'!"&amp;F$4&amp;ROW()-31)))),"-",INDIRECT("'"&amp;F$6&amp;"'!"&amp;F$4&amp;ROW()-31))</f>
        <v>-</v>
      </c>
      <c r="G53" s="120" t="str">
        <f ca="1" t="array" ref="G53">IF(OR(TRIM(INDIRECT("'"&amp;G$6&amp;"'!"&amp;G$4&amp;ROW()-31))="0",INDIRECT("'"&amp;G$6&amp;"'!"&amp;G$4&amp;ROW()-31)="",NOT(ISNUMBER(INDIRECT("'"&amp;G$6&amp;"'!"&amp;G$4&amp;ROW()-31)))),"-",INDIRECT("'"&amp;G$6&amp;"'!"&amp;G$4&amp;ROW()-31))</f>
        <v>-</v>
      </c>
      <c r="H53" s="120" t="str">
        <f ca="1" t="array" ref="H53">IF(OR(TRIM(INDIRECT("'"&amp;H$6&amp;"'!"&amp;H$4&amp;ROW()-31))="0",INDIRECT("'"&amp;H$6&amp;"'!"&amp;H$4&amp;ROW()-31)="",NOT(ISNUMBER(INDIRECT("'"&amp;H$6&amp;"'!"&amp;H$4&amp;ROW()-31)))),"-",INDIRECT("'"&amp;H$6&amp;"'!"&amp;H$4&amp;ROW()-31))</f>
        <v>-</v>
      </c>
      <c r="I53" s="120" t="str">
        <f ca="1" t="array" ref="I53">IF(OR(TRIM(INDIRECT("'"&amp;I$6&amp;"'!"&amp;I$4&amp;ROW()-31))="0",INDIRECT("'"&amp;I$6&amp;"'!"&amp;I$4&amp;ROW()-31)="",NOT(ISNUMBER(INDIRECT("'"&amp;I$6&amp;"'!"&amp;I$4&amp;ROW()-31)))),"-",INDIRECT("'"&amp;I$6&amp;"'!"&amp;I$4&amp;ROW()-31))</f>
        <v>-</v>
      </c>
      <c r="J53" s="120" t="str">
        <f ca="1" t="array" ref="J53">IF(OR(TRIM(INDIRECT("'"&amp;J$6&amp;"'!"&amp;J$4&amp;ROW()-31))="0",INDIRECT("'"&amp;J$6&amp;"'!"&amp;J$4&amp;ROW()-31)="",NOT(ISNUMBER(INDIRECT("'"&amp;J$6&amp;"'!"&amp;J$4&amp;ROW()-31)))),"-",INDIRECT("'"&amp;J$6&amp;"'!"&amp;J$4&amp;ROW()-31))</f>
        <v>-</v>
      </c>
      <c r="K53" s="120" t="str">
        <f ca="1" t="array" ref="K53">IF(OR(TRIM(INDIRECT("'"&amp;K$6&amp;"'!"&amp;K$4&amp;ROW()-31))="0",INDIRECT("'"&amp;K$6&amp;"'!"&amp;K$4&amp;ROW()-31)="",NOT(ISNUMBER(INDIRECT("'"&amp;K$6&amp;"'!"&amp;K$4&amp;ROW()-31)))),"-",INDIRECT("'"&amp;K$6&amp;"'!"&amp;K$4&amp;ROW()-31))</f>
        <v>-</v>
      </c>
      <c r="L53" s="120" t="str">
        <f ca="1" t="array" ref="L53">IF(OR(TRIM(INDIRECT("'"&amp;L$6&amp;"'!"&amp;L$4&amp;ROW()-31))="0",INDIRECT("'"&amp;L$6&amp;"'!"&amp;L$4&amp;ROW()-31)="",NOT(ISNUMBER(INDIRECT("'"&amp;L$6&amp;"'!"&amp;L$4&amp;ROW()-31)))),"-",INDIRECT("'"&amp;L$6&amp;"'!"&amp;L$4&amp;ROW()-31))</f>
        <v>-</v>
      </c>
      <c r="M53" s="120" t="str">
        <f ca="1" t="array" ref="M53">IF(OR(TRIM(INDIRECT("'"&amp;M$6&amp;"'!"&amp;M$4&amp;ROW()-31))="0",INDIRECT("'"&amp;M$6&amp;"'!"&amp;M$4&amp;ROW()-31)="",NOT(ISNUMBER(INDIRECT("'"&amp;M$6&amp;"'!"&amp;M$4&amp;ROW()-31)))),"-",INDIRECT("'"&amp;M$6&amp;"'!"&amp;M$4&amp;ROW()-31))</f>
        <v>-</v>
      </c>
      <c r="N53" s="31">
        <v>0</v>
      </c>
      <c r="O53" s="31">
        <v>0</v>
      </c>
    </row>
    <row r="54" s="28" customFormat="1" ht="15" customHeight="1" spans="1:15">
      <c r="A54" s="10" t="str">
        <f>'Section-Category'!A91</f>
        <v>Total Petty Cash Used</v>
      </c>
      <c r="B54" s="123">
        <f ca="1" t="shared" ref="B54:O54" si="13">SUM(B46:B53)</f>
        <v>0</v>
      </c>
      <c r="C54" s="123">
        <f ca="1" t="shared" si="13"/>
        <v>0</v>
      </c>
      <c r="D54" s="123">
        <f ca="1" t="shared" si="13"/>
        <v>0</v>
      </c>
      <c r="E54" s="123">
        <f ca="1" t="shared" si="13"/>
        <v>0</v>
      </c>
      <c r="F54" s="123">
        <f ca="1" t="shared" si="13"/>
        <v>0</v>
      </c>
      <c r="G54" s="123">
        <f ca="1" t="shared" si="13"/>
        <v>0</v>
      </c>
      <c r="H54" s="123">
        <f ca="1" t="shared" si="13"/>
        <v>0</v>
      </c>
      <c r="I54" s="123">
        <f ca="1" t="shared" si="13"/>
        <v>0</v>
      </c>
      <c r="J54" s="123">
        <f ca="1" t="shared" si="13"/>
        <v>0</v>
      </c>
      <c r="K54" s="123">
        <f ca="1" t="shared" si="13"/>
        <v>0</v>
      </c>
      <c r="L54" s="123">
        <f ca="1" t="shared" si="13"/>
        <v>0</v>
      </c>
      <c r="M54" s="123">
        <f ca="1" t="shared" si="13"/>
        <v>0</v>
      </c>
      <c r="N54" s="39">
        <f t="shared" si="13"/>
        <v>0</v>
      </c>
      <c r="O54" s="39">
        <f t="shared" si="13"/>
        <v>0</v>
      </c>
    </row>
    <row r="55" s="28" customFormat="1" ht="13.5" customHeight="1" spans="1:15">
      <c r="A55" s="11" t="str">
        <f>'Section-Category'!A92</f>
        <v>% of Total Petty Cash</v>
      </c>
      <c r="B55" s="124" t="str">
        <f ca="1" t="shared" ref="B55:O55" si="14">IF(B$11=0," - ",B54/B$11)</f>
        <v> - </v>
      </c>
      <c r="C55" s="124" t="str">
        <f ca="1" t="shared" si="14"/>
        <v> - </v>
      </c>
      <c r="D55" s="124" t="str">
        <f ca="1" t="shared" si="14"/>
        <v> - </v>
      </c>
      <c r="E55" s="124" t="str">
        <f ca="1" t="shared" si="14"/>
        <v> - </v>
      </c>
      <c r="F55" s="124" t="str">
        <f ca="1" t="shared" si="14"/>
        <v> - </v>
      </c>
      <c r="G55" s="124" t="str">
        <f ca="1" t="shared" si="14"/>
        <v> - </v>
      </c>
      <c r="H55" s="124" t="str">
        <f ca="1" t="shared" si="14"/>
        <v> - </v>
      </c>
      <c r="I55" s="124" t="str">
        <f ca="1" t="shared" si="14"/>
        <v> - </v>
      </c>
      <c r="J55" s="124" t="str">
        <f ca="1" t="shared" si="14"/>
        <v> - </v>
      </c>
      <c r="K55" s="124" t="str">
        <f ca="1" t="shared" si="14"/>
        <v> - </v>
      </c>
      <c r="L55" s="124" t="str">
        <f ca="1" t="shared" si="14"/>
        <v> - </v>
      </c>
      <c r="M55" s="124" t="str">
        <f ca="1" t="shared" si="14"/>
        <v> - </v>
      </c>
      <c r="N55" s="125" t="str">
        <f t="shared" si="14"/>
        <v> - </v>
      </c>
      <c r="O55" s="125" t="str">
        <f t="shared" si="14"/>
        <v> - </v>
      </c>
    </row>
    <row r="56" s="28" customFormat="1" ht="13.5" customHeight="1" spans="1:15">
      <c r="A56" s="7"/>
      <c r="B56" s="76"/>
      <c r="C56" s="76"/>
      <c r="D56" s="76"/>
      <c r="E56" s="76"/>
      <c r="F56" s="76"/>
      <c r="G56" s="76"/>
      <c r="H56" s="76"/>
      <c r="I56" s="76"/>
      <c r="J56" s="76"/>
      <c r="K56" s="76"/>
      <c r="L56" s="76"/>
      <c r="M56" s="76"/>
      <c r="N56" s="76"/>
      <c r="O56" s="76"/>
    </row>
    <row r="57" s="62" customFormat="1" spans="1:15">
      <c r="A57" s="12" t="str">
        <f>'Section-Category'!A11</f>
        <v>SAVINGS EXPENSE</v>
      </c>
      <c r="B57" s="40" t="str">
        <f t="shared" ref="B57:M57" si="15">B$6</f>
        <v>Jan</v>
      </c>
      <c r="C57" s="40" t="str">
        <f t="shared" si="15"/>
        <v>Feb</v>
      </c>
      <c r="D57" s="40" t="str">
        <f t="shared" si="15"/>
        <v>Mar</v>
      </c>
      <c r="E57" s="40" t="str">
        <f t="shared" si="15"/>
        <v>Apr</v>
      </c>
      <c r="F57" s="40" t="str">
        <f t="shared" si="15"/>
        <v>May</v>
      </c>
      <c r="G57" s="40" t="str">
        <f t="shared" si="15"/>
        <v>Jun</v>
      </c>
      <c r="H57" s="40" t="str">
        <f t="shared" si="15"/>
        <v>Jul</v>
      </c>
      <c r="I57" s="40" t="str">
        <f t="shared" si="15"/>
        <v>Aug</v>
      </c>
      <c r="J57" s="40" t="str">
        <f t="shared" si="15"/>
        <v>Sep</v>
      </c>
      <c r="K57" s="40" t="str">
        <f t="shared" si="15"/>
        <v>Oct</v>
      </c>
      <c r="L57" s="40" t="str">
        <f t="shared" si="15"/>
        <v>Nov</v>
      </c>
      <c r="M57" s="40" t="str">
        <f t="shared" si="15"/>
        <v>Dec</v>
      </c>
      <c r="N57" s="40" t="s">
        <v>34</v>
      </c>
      <c r="O57" s="40" t="s">
        <v>35</v>
      </c>
    </row>
    <row r="58" s="28" customFormat="1" spans="1:15">
      <c r="A58" s="13" t="str">
        <f>'Section-Category'!A12</f>
        <v>Emergency Fund</v>
      </c>
      <c r="B58" s="126" t="str">
        <f ca="1" t="array" ref="B58">IF(OR(TRIM(INDIRECT("'"&amp;B$6&amp;"'!"&amp;B$4&amp;ROW()-32))="0",INDIRECT("'"&amp;B$6&amp;"'!"&amp;B$4&amp;ROW()-32)="",NOT(ISNUMBER(INDIRECT("'"&amp;B$6&amp;"'!"&amp;B$4&amp;ROW()-32)))),"-",INDIRECT("'"&amp;B$6&amp;"'!"&amp;B$4&amp;ROW()-32))</f>
        <v>-</v>
      </c>
      <c r="C58" s="126" t="str">
        <f ca="1" t="array" ref="C58">IF(OR(TRIM(INDIRECT("'"&amp;C$6&amp;"'!"&amp;C$4&amp;ROW()-32))="0",INDIRECT("'"&amp;C$6&amp;"'!"&amp;C$4&amp;ROW()-32)="",NOT(ISNUMBER(INDIRECT("'"&amp;C$6&amp;"'!"&amp;C$4&amp;ROW()-32)))),"-",INDIRECT("'"&amp;C$6&amp;"'!"&amp;C$4&amp;ROW()-32))</f>
        <v>-</v>
      </c>
      <c r="D58" s="126" t="str">
        <f ca="1" t="array" ref="D58">IF(OR(TRIM(INDIRECT("'"&amp;D$6&amp;"'!"&amp;D$4&amp;ROW()-32))="0",INDIRECT("'"&amp;D$6&amp;"'!"&amp;D$4&amp;ROW()-32)="",NOT(ISNUMBER(INDIRECT("'"&amp;D$6&amp;"'!"&amp;D$4&amp;ROW()-32)))),"-",INDIRECT("'"&amp;D$6&amp;"'!"&amp;D$4&amp;ROW()-32))</f>
        <v>-</v>
      </c>
      <c r="E58" s="126" t="str">
        <f ca="1" t="array" ref="E58">IF(OR(TRIM(INDIRECT("'"&amp;E$6&amp;"'!"&amp;E$4&amp;ROW()-32))="0",INDIRECT("'"&amp;E$6&amp;"'!"&amp;E$4&amp;ROW()-32)="",NOT(ISNUMBER(INDIRECT("'"&amp;E$6&amp;"'!"&amp;E$4&amp;ROW()-32)))),"-",INDIRECT("'"&amp;E$6&amp;"'!"&amp;E$4&amp;ROW()-32))</f>
        <v>-</v>
      </c>
      <c r="F58" s="126" t="str">
        <f ca="1" t="array" ref="F58">IF(OR(TRIM(INDIRECT("'"&amp;F$6&amp;"'!"&amp;F$4&amp;ROW()-32))="0",INDIRECT("'"&amp;F$6&amp;"'!"&amp;F$4&amp;ROW()-32)="",NOT(ISNUMBER(INDIRECT("'"&amp;F$6&amp;"'!"&amp;F$4&amp;ROW()-32)))),"-",INDIRECT("'"&amp;F$6&amp;"'!"&amp;F$4&amp;ROW()-32))</f>
        <v>-</v>
      </c>
      <c r="G58" s="126" t="str">
        <f ca="1" t="array" ref="G58">IF(OR(TRIM(INDIRECT("'"&amp;G$6&amp;"'!"&amp;G$4&amp;ROW()-32))="0",INDIRECT("'"&amp;G$6&amp;"'!"&amp;G$4&amp;ROW()-32)="",NOT(ISNUMBER(INDIRECT("'"&amp;G$6&amp;"'!"&amp;G$4&amp;ROW()-32)))),"-",INDIRECT("'"&amp;G$6&amp;"'!"&amp;G$4&amp;ROW()-32))</f>
        <v>-</v>
      </c>
      <c r="H58" s="126" t="str">
        <f ca="1" t="array" ref="H58">IF(OR(TRIM(INDIRECT("'"&amp;H$6&amp;"'!"&amp;H$4&amp;ROW()-32))="0",INDIRECT("'"&amp;H$6&amp;"'!"&amp;H$4&amp;ROW()-32)="",NOT(ISNUMBER(INDIRECT("'"&amp;H$6&amp;"'!"&amp;H$4&amp;ROW()-32)))),"-",INDIRECT("'"&amp;H$6&amp;"'!"&amp;H$4&amp;ROW()-32))</f>
        <v>-</v>
      </c>
      <c r="I58" s="126" t="str">
        <f ca="1" t="array" ref="I58">IF(OR(TRIM(INDIRECT("'"&amp;I$6&amp;"'!"&amp;I$4&amp;ROW()-32))="0",INDIRECT("'"&amp;I$6&amp;"'!"&amp;I$4&amp;ROW()-32)="",NOT(ISNUMBER(INDIRECT("'"&amp;I$6&amp;"'!"&amp;I$4&amp;ROW()-32)))),"-",INDIRECT("'"&amp;I$6&amp;"'!"&amp;I$4&amp;ROW()-32))</f>
        <v>-</v>
      </c>
      <c r="J58" s="126" t="str">
        <f ca="1" t="array" ref="J58">IF(OR(TRIM(INDIRECT("'"&amp;J$6&amp;"'!"&amp;J$4&amp;ROW()-32))="0",INDIRECT("'"&amp;J$6&amp;"'!"&amp;J$4&amp;ROW()-32)="",NOT(ISNUMBER(INDIRECT("'"&amp;J$6&amp;"'!"&amp;J$4&amp;ROW()-32)))),"-",INDIRECT("'"&amp;J$6&amp;"'!"&amp;J$4&amp;ROW()-32))</f>
        <v>-</v>
      </c>
      <c r="K58" s="126" t="str">
        <f ca="1" t="array" ref="K58">IF(OR(TRIM(INDIRECT("'"&amp;K$6&amp;"'!"&amp;K$4&amp;ROW()-32))="0",INDIRECT("'"&amp;K$6&amp;"'!"&amp;K$4&amp;ROW()-32)="",NOT(ISNUMBER(INDIRECT("'"&amp;K$6&amp;"'!"&amp;K$4&amp;ROW()-32)))),"-",INDIRECT("'"&amp;K$6&amp;"'!"&amp;K$4&amp;ROW()-32))</f>
        <v>-</v>
      </c>
      <c r="L58" s="126" t="str">
        <f ca="1" t="array" ref="L58">IF(OR(TRIM(INDIRECT("'"&amp;L$6&amp;"'!"&amp;L$4&amp;ROW()-32))="0",INDIRECT("'"&amp;L$6&amp;"'!"&amp;L$4&amp;ROW()-32)="",NOT(ISNUMBER(INDIRECT("'"&amp;L$6&amp;"'!"&amp;L$4&amp;ROW()-32)))),"-",INDIRECT("'"&amp;L$6&amp;"'!"&amp;L$4&amp;ROW()-32))</f>
        <v>-</v>
      </c>
      <c r="M58" s="126" t="str">
        <f ca="1" t="array" ref="M58">IF(OR(TRIM(INDIRECT("'"&amp;M$6&amp;"'!"&amp;M$4&amp;ROW()-32))="0",INDIRECT("'"&amp;M$6&amp;"'!"&amp;M$4&amp;ROW()-32)="",NOT(ISNUMBER(INDIRECT("'"&amp;M$6&amp;"'!"&amp;M$4&amp;ROW()-32)))),"-",INDIRECT("'"&amp;M$6&amp;"'!"&amp;M$4&amp;ROW()-32))</f>
        <v>-</v>
      </c>
      <c r="N58" s="31">
        <f ca="1" t="shared" ref="N58:N62" si="16">SUM(B58:M58)</f>
        <v>0</v>
      </c>
      <c r="O58" s="31">
        <f ca="1" t="shared" ref="O58:O62" si="17">N58/COLUMNS(B58:M58)</f>
        <v>0</v>
      </c>
    </row>
    <row r="59" s="28" customFormat="1" spans="1:15">
      <c r="A59" s="13" t="str">
        <f>'Section-Category'!A13</f>
        <v>Investments</v>
      </c>
      <c r="B59" s="126" t="str">
        <f ca="1" t="array" ref="B59">IF(OR(TRIM(INDIRECT("'"&amp;B$6&amp;"'!"&amp;B$4&amp;ROW()-32))="0",INDIRECT("'"&amp;B$6&amp;"'!"&amp;B$4&amp;ROW()-32)="",NOT(ISNUMBER(INDIRECT("'"&amp;B$6&amp;"'!"&amp;B$4&amp;ROW()-32)))),"-",INDIRECT("'"&amp;B$6&amp;"'!"&amp;B$4&amp;ROW()-32))</f>
        <v>-</v>
      </c>
      <c r="C59" s="126" t="str">
        <f ca="1" t="array" ref="C59">IF(OR(TRIM(INDIRECT("'"&amp;C$6&amp;"'!"&amp;C$4&amp;ROW()-32))="0",INDIRECT("'"&amp;C$6&amp;"'!"&amp;C$4&amp;ROW()-32)="",NOT(ISNUMBER(INDIRECT("'"&amp;C$6&amp;"'!"&amp;C$4&amp;ROW()-32)))),"-",INDIRECT("'"&amp;C$6&amp;"'!"&amp;C$4&amp;ROW()-32))</f>
        <v>-</v>
      </c>
      <c r="D59" s="126" t="str">
        <f ca="1" t="array" ref="D59">IF(OR(TRIM(INDIRECT("'"&amp;D$6&amp;"'!"&amp;D$4&amp;ROW()-32))="0",INDIRECT("'"&amp;D$6&amp;"'!"&amp;D$4&amp;ROW()-32)="",NOT(ISNUMBER(INDIRECT("'"&amp;D$6&amp;"'!"&amp;D$4&amp;ROW()-32)))),"-",INDIRECT("'"&amp;D$6&amp;"'!"&amp;D$4&amp;ROW()-32))</f>
        <v>-</v>
      </c>
      <c r="E59" s="126" t="str">
        <f ca="1" t="array" ref="E59">IF(OR(TRIM(INDIRECT("'"&amp;E$6&amp;"'!"&amp;E$4&amp;ROW()-32))="0",INDIRECT("'"&amp;E$6&amp;"'!"&amp;E$4&amp;ROW()-32)="",NOT(ISNUMBER(INDIRECT("'"&amp;E$6&amp;"'!"&amp;E$4&amp;ROW()-32)))),"-",INDIRECT("'"&amp;E$6&amp;"'!"&amp;E$4&amp;ROW()-32))</f>
        <v>-</v>
      </c>
      <c r="F59" s="126" t="str">
        <f ca="1" t="array" ref="F59">IF(OR(TRIM(INDIRECT("'"&amp;F$6&amp;"'!"&amp;F$4&amp;ROW()-32))="0",INDIRECT("'"&amp;F$6&amp;"'!"&amp;F$4&amp;ROW()-32)="",NOT(ISNUMBER(INDIRECT("'"&amp;F$6&amp;"'!"&amp;F$4&amp;ROW()-32)))),"-",INDIRECT("'"&amp;F$6&amp;"'!"&amp;F$4&amp;ROW()-32))</f>
        <v>-</v>
      </c>
      <c r="G59" s="126" t="str">
        <f ca="1" t="array" ref="G59">IF(OR(TRIM(INDIRECT("'"&amp;G$6&amp;"'!"&amp;G$4&amp;ROW()-32))="0",INDIRECT("'"&amp;G$6&amp;"'!"&amp;G$4&amp;ROW()-32)="",NOT(ISNUMBER(INDIRECT("'"&amp;G$6&amp;"'!"&amp;G$4&amp;ROW()-32)))),"-",INDIRECT("'"&amp;G$6&amp;"'!"&amp;G$4&amp;ROW()-32))</f>
        <v>-</v>
      </c>
      <c r="H59" s="126" t="str">
        <f ca="1" t="array" ref="H59">IF(OR(TRIM(INDIRECT("'"&amp;H$6&amp;"'!"&amp;H$4&amp;ROW()-32))="0",INDIRECT("'"&amp;H$6&amp;"'!"&amp;H$4&amp;ROW()-32)="",NOT(ISNUMBER(INDIRECT("'"&amp;H$6&amp;"'!"&amp;H$4&amp;ROW()-32)))),"-",INDIRECT("'"&amp;H$6&amp;"'!"&amp;H$4&amp;ROW()-32))</f>
        <v>-</v>
      </c>
      <c r="I59" s="126" t="str">
        <f ca="1" t="array" ref="I59">IF(OR(TRIM(INDIRECT("'"&amp;I$6&amp;"'!"&amp;I$4&amp;ROW()-32))="0",INDIRECT("'"&amp;I$6&amp;"'!"&amp;I$4&amp;ROW()-32)="",NOT(ISNUMBER(INDIRECT("'"&amp;I$6&amp;"'!"&amp;I$4&amp;ROW()-32)))),"-",INDIRECT("'"&amp;I$6&amp;"'!"&amp;I$4&amp;ROW()-32))</f>
        <v>-</v>
      </c>
      <c r="J59" s="126" t="str">
        <f ca="1" t="array" ref="J59">IF(OR(TRIM(INDIRECT("'"&amp;J$6&amp;"'!"&amp;J$4&amp;ROW()-32))="0",INDIRECT("'"&amp;J$6&amp;"'!"&amp;J$4&amp;ROW()-32)="",NOT(ISNUMBER(INDIRECT("'"&amp;J$6&amp;"'!"&amp;J$4&amp;ROW()-32)))),"-",INDIRECT("'"&amp;J$6&amp;"'!"&amp;J$4&amp;ROW()-32))</f>
        <v>-</v>
      </c>
      <c r="K59" s="126" t="str">
        <f ca="1" t="array" ref="K59">IF(OR(TRIM(INDIRECT("'"&amp;K$6&amp;"'!"&amp;K$4&amp;ROW()-32))="0",INDIRECT("'"&amp;K$6&amp;"'!"&amp;K$4&amp;ROW()-32)="",NOT(ISNUMBER(INDIRECT("'"&amp;K$6&amp;"'!"&amp;K$4&amp;ROW()-32)))),"-",INDIRECT("'"&amp;K$6&amp;"'!"&amp;K$4&amp;ROW()-32))</f>
        <v>-</v>
      </c>
      <c r="L59" s="126" t="str">
        <f ca="1" t="array" ref="L59">IF(OR(TRIM(INDIRECT("'"&amp;L$6&amp;"'!"&amp;L$4&amp;ROW()-32))="0",INDIRECT("'"&amp;L$6&amp;"'!"&amp;L$4&amp;ROW()-32)="",NOT(ISNUMBER(INDIRECT("'"&amp;L$6&amp;"'!"&amp;L$4&amp;ROW()-32)))),"-",INDIRECT("'"&amp;L$6&amp;"'!"&amp;L$4&amp;ROW()-32))</f>
        <v>-</v>
      </c>
      <c r="M59" s="126" t="str">
        <f ca="1" t="array" ref="M59">IF(OR(TRIM(INDIRECT("'"&amp;M$6&amp;"'!"&amp;M$4&amp;ROW()-32))="0",INDIRECT("'"&amp;M$6&amp;"'!"&amp;M$4&amp;ROW()-32)="",NOT(ISNUMBER(INDIRECT("'"&amp;M$6&amp;"'!"&amp;M$4&amp;ROW()-32)))),"-",INDIRECT("'"&amp;M$6&amp;"'!"&amp;M$4&amp;ROW()-32))</f>
        <v>-</v>
      </c>
      <c r="N59" s="31">
        <f ca="1" t="shared" si="16"/>
        <v>0</v>
      </c>
      <c r="O59" s="31">
        <f ca="1" t="shared" si="17"/>
        <v>0</v>
      </c>
    </row>
    <row r="60" s="28" customFormat="1" spans="1:15">
      <c r="A60" s="13" t="str">
        <f>'Section-Category'!A14</f>
        <v>Pocket Money Wife</v>
      </c>
      <c r="B60" s="126" t="str">
        <f ca="1" t="array" ref="B60">IF(OR(TRIM(INDIRECT("'"&amp;B$6&amp;"'!"&amp;B$4&amp;ROW()-32))="0",INDIRECT("'"&amp;B$6&amp;"'!"&amp;B$4&amp;ROW()-32)="",NOT(ISNUMBER(INDIRECT("'"&amp;B$6&amp;"'!"&amp;B$4&amp;ROW()-32)))),"-",INDIRECT("'"&amp;B$6&amp;"'!"&amp;B$4&amp;ROW()-32))</f>
        <v>-</v>
      </c>
      <c r="C60" s="126" t="str">
        <f ca="1" t="array" ref="C60">IF(OR(TRIM(INDIRECT("'"&amp;C$6&amp;"'!"&amp;C$4&amp;ROW()-32))="0",INDIRECT("'"&amp;C$6&amp;"'!"&amp;C$4&amp;ROW()-32)="",NOT(ISNUMBER(INDIRECT("'"&amp;C$6&amp;"'!"&amp;C$4&amp;ROW()-32)))),"-",INDIRECT("'"&amp;C$6&amp;"'!"&amp;C$4&amp;ROW()-32))</f>
        <v>-</v>
      </c>
      <c r="D60" s="126" t="str">
        <f ca="1" t="array" ref="D60">IF(OR(TRIM(INDIRECT("'"&amp;D$6&amp;"'!"&amp;D$4&amp;ROW()-32))="0",INDIRECT("'"&amp;D$6&amp;"'!"&amp;D$4&amp;ROW()-32)="",NOT(ISNUMBER(INDIRECT("'"&amp;D$6&amp;"'!"&amp;D$4&amp;ROW()-32)))),"-",INDIRECT("'"&amp;D$6&amp;"'!"&amp;D$4&amp;ROW()-32))</f>
        <v>-</v>
      </c>
      <c r="E60" s="126" t="str">
        <f ca="1" t="array" ref="E60">IF(OR(TRIM(INDIRECT("'"&amp;E$6&amp;"'!"&amp;E$4&amp;ROW()-32))="0",INDIRECT("'"&amp;E$6&amp;"'!"&amp;E$4&amp;ROW()-32)="",NOT(ISNUMBER(INDIRECT("'"&amp;E$6&amp;"'!"&amp;E$4&amp;ROW()-32)))),"-",INDIRECT("'"&amp;E$6&amp;"'!"&amp;E$4&amp;ROW()-32))</f>
        <v>-</v>
      </c>
      <c r="F60" s="126" t="str">
        <f ca="1" t="array" ref="F60">IF(OR(TRIM(INDIRECT("'"&amp;F$6&amp;"'!"&amp;F$4&amp;ROW()-32))="0",INDIRECT("'"&amp;F$6&amp;"'!"&amp;F$4&amp;ROW()-32)="",NOT(ISNUMBER(INDIRECT("'"&amp;F$6&amp;"'!"&amp;F$4&amp;ROW()-32)))),"-",INDIRECT("'"&amp;F$6&amp;"'!"&amp;F$4&amp;ROW()-32))</f>
        <v>-</v>
      </c>
      <c r="G60" s="126" t="str">
        <f ca="1" t="array" ref="G60">IF(OR(TRIM(INDIRECT("'"&amp;G$6&amp;"'!"&amp;G$4&amp;ROW()-32))="0",INDIRECT("'"&amp;G$6&amp;"'!"&amp;G$4&amp;ROW()-32)="",NOT(ISNUMBER(INDIRECT("'"&amp;G$6&amp;"'!"&amp;G$4&amp;ROW()-32)))),"-",INDIRECT("'"&amp;G$6&amp;"'!"&amp;G$4&amp;ROW()-32))</f>
        <v>-</v>
      </c>
      <c r="H60" s="126" t="str">
        <f ca="1" t="array" ref="H60">IF(OR(TRIM(INDIRECT("'"&amp;H$6&amp;"'!"&amp;H$4&amp;ROW()-32))="0",INDIRECT("'"&amp;H$6&amp;"'!"&amp;H$4&amp;ROW()-32)="",NOT(ISNUMBER(INDIRECT("'"&amp;H$6&amp;"'!"&amp;H$4&amp;ROW()-32)))),"-",INDIRECT("'"&amp;H$6&amp;"'!"&amp;H$4&amp;ROW()-32))</f>
        <v>-</v>
      </c>
      <c r="I60" s="126" t="str">
        <f ca="1" t="array" ref="I60">IF(OR(TRIM(INDIRECT("'"&amp;I$6&amp;"'!"&amp;I$4&amp;ROW()-32))="0",INDIRECT("'"&amp;I$6&amp;"'!"&amp;I$4&amp;ROW()-32)="",NOT(ISNUMBER(INDIRECT("'"&amp;I$6&amp;"'!"&amp;I$4&amp;ROW()-32)))),"-",INDIRECT("'"&amp;I$6&amp;"'!"&amp;I$4&amp;ROW()-32))</f>
        <v>-</v>
      </c>
      <c r="J60" s="126" t="str">
        <f ca="1" t="array" ref="J60">IF(OR(TRIM(INDIRECT("'"&amp;J$6&amp;"'!"&amp;J$4&amp;ROW()-32))="0",INDIRECT("'"&amp;J$6&amp;"'!"&amp;J$4&amp;ROW()-32)="",NOT(ISNUMBER(INDIRECT("'"&amp;J$6&amp;"'!"&amp;J$4&amp;ROW()-32)))),"-",INDIRECT("'"&amp;J$6&amp;"'!"&amp;J$4&amp;ROW()-32))</f>
        <v>-</v>
      </c>
      <c r="K60" s="126" t="str">
        <f ca="1" t="array" ref="K60">IF(OR(TRIM(INDIRECT("'"&amp;K$6&amp;"'!"&amp;K$4&amp;ROW()-32))="0",INDIRECT("'"&amp;K$6&amp;"'!"&amp;K$4&amp;ROW()-32)="",NOT(ISNUMBER(INDIRECT("'"&amp;K$6&amp;"'!"&amp;K$4&amp;ROW()-32)))),"-",INDIRECT("'"&amp;K$6&amp;"'!"&amp;K$4&amp;ROW()-32))</f>
        <v>-</v>
      </c>
      <c r="L60" s="126" t="str">
        <f ca="1" t="array" ref="L60">IF(OR(TRIM(INDIRECT("'"&amp;L$6&amp;"'!"&amp;L$4&amp;ROW()-32))="0",INDIRECT("'"&amp;L$6&amp;"'!"&amp;L$4&amp;ROW()-32)="",NOT(ISNUMBER(INDIRECT("'"&amp;L$6&amp;"'!"&amp;L$4&amp;ROW()-32)))),"-",INDIRECT("'"&amp;L$6&amp;"'!"&amp;L$4&amp;ROW()-32))</f>
        <v>-</v>
      </c>
      <c r="M60" s="126" t="str">
        <f ca="1" t="array" ref="M60">IF(OR(TRIM(INDIRECT("'"&amp;M$6&amp;"'!"&amp;M$4&amp;ROW()-32))="0",INDIRECT("'"&amp;M$6&amp;"'!"&amp;M$4&amp;ROW()-32)="",NOT(ISNUMBER(INDIRECT("'"&amp;M$6&amp;"'!"&amp;M$4&amp;ROW()-32)))),"-",INDIRECT("'"&amp;M$6&amp;"'!"&amp;M$4&amp;ROW()-32))</f>
        <v>-</v>
      </c>
      <c r="N60" s="31">
        <f ca="1" t="shared" si="16"/>
        <v>0</v>
      </c>
      <c r="O60" s="31">
        <f ca="1" t="shared" si="17"/>
        <v>0</v>
      </c>
    </row>
    <row r="61" s="28" customFormat="1" spans="1:15">
      <c r="A61" s="13" t="str">
        <f>'Section-Category'!A15</f>
        <v>&lt;Name-Of-Entry&gt;</v>
      </c>
      <c r="B61" s="126" t="str">
        <f ca="1" t="array" ref="B61">IF(OR(TRIM(INDIRECT("'"&amp;B$6&amp;"'!"&amp;B$4&amp;ROW()-32))="0",INDIRECT("'"&amp;B$6&amp;"'!"&amp;B$4&amp;ROW()-32)="",NOT(ISNUMBER(INDIRECT("'"&amp;B$6&amp;"'!"&amp;B$4&amp;ROW()-32)))),"-",INDIRECT("'"&amp;B$6&amp;"'!"&amp;B$4&amp;ROW()-32))</f>
        <v>-</v>
      </c>
      <c r="C61" s="126" t="str">
        <f ca="1" t="array" ref="C61">IF(OR(TRIM(INDIRECT("'"&amp;C$6&amp;"'!"&amp;C$4&amp;ROW()-32))="0",INDIRECT("'"&amp;C$6&amp;"'!"&amp;C$4&amp;ROW()-32)="",NOT(ISNUMBER(INDIRECT("'"&amp;C$6&amp;"'!"&amp;C$4&amp;ROW()-32)))),"-",INDIRECT("'"&amp;C$6&amp;"'!"&amp;C$4&amp;ROW()-32))</f>
        <v>-</v>
      </c>
      <c r="D61" s="126" t="str">
        <f ca="1" t="array" ref="D61">IF(OR(TRIM(INDIRECT("'"&amp;D$6&amp;"'!"&amp;D$4&amp;ROW()-32))="0",INDIRECT("'"&amp;D$6&amp;"'!"&amp;D$4&amp;ROW()-32)="",NOT(ISNUMBER(INDIRECT("'"&amp;D$6&amp;"'!"&amp;D$4&amp;ROW()-32)))),"-",INDIRECT("'"&amp;D$6&amp;"'!"&amp;D$4&amp;ROW()-32))</f>
        <v>-</v>
      </c>
      <c r="E61" s="126" t="str">
        <f ca="1" t="array" ref="E61">IF(OR(TRIM(INDIRECT("'"&amp;E$6&amp;"'!"&amp;E$4&amp;ROW()-32))="0",INDIRECT("'"&amp;E$6&amp;"'!"&amp;E$4&amp;ROW()-32)="",NOT(ISNUMBER(INDIRECT("'"&amp;E$6&amp;"'!"&amp;E$4&amp;ROW()-32)))),"-",INDIRECT("'"&amp;E$6&amp;"'!"&amp;E$4&amp;ROW()-32))</f>
        <v>-</v>
      </c>
      <c r="F61" s="126" t="str">
        <f ca="1" t="array" ref="F61">IF(OR(TRIM(INDIRECT("'"&amp;F$6&amp;"'!"&amp;F$4&amp;ROW()-32))="0",INDIRECT("'"&amp;F$6&amp;"'!"&amp;F$4&amp;ROW()-32)="",NOT(ISNUMBER(INDIRECT("'"&amp;F$6&amp;"'!"&amp;F$4&amp;ROW()-32)))),"-",INDIRECT("'"&amp;F$6&amp;"'!"&amp;F$4&amp;ROW()-32))</f>
        <v>-</v>
      </c>
      <c r="G61" s="126" t="str">
        <f ca="1" t="array" ref="G61">IF(OR(TRIM(INDIRECT("'"&amp;G$6&amp;"'!"&amp;G$4&amp;ROW()-32))="0",INDIRECT("'"&amp;G$6&amp;"'!"&amp;G$4&amp;ROW()-32)="",NOT(ISNUMBER(INDIRECT("'"&amp;G$6&amp;"'!"&amp;G$4&amp;ROW()-32)))),"-",INDIRECT("'"&amp;G$6&amp;"'!"&amp;G$4&amp;ROW()-32))</f>
        <v>-</v>
      </c>
      <c r="H61" s="126" t="str">
        <f ca="1" t="array" ref="H61">IF(OR(TRIM(INDIRECT("'"&amp;H$6&amp;"'!"&amp;H$4&amp;ROW()-32))="0",INDIRECT("'"&amp;H$6&amp;"'!"&amp;H$4&amp;ROW()-32)="",NOT(ISNUMBER(INDIRECT("'"&amp;H$6&amp;"'!"&amp;H$4&amp;ROW()-32)))),"-",INDIRECT("'"&amp;H$6&amp;"'!"&amp;H$4&amp;ROW()-32))</f>
        <v>-</v>
      </c>
      <c r="I61" s="126" t="str">
        <f ca="1" t="array" ref="I61">IF(OR(TRIM(INDIRECT("'"&amp;I$6&amp;"'!"&amp;I$4&amp;ROW()-32))="0",INDIRECT("'"&amp;I$6&amp;"'!"&amp;I$4&amp;ROW()-32)="",NOT(ISNUMBER(INDIRECT("'"&amp;I$6&amp;"'!"&amp;I$4&amp;ROW()-32)))),"-",INDIRECT("'"&amp;I$6&amp;"'!"&amp;I$4&amp;ROW()-32))</f>
        <v>-</v>
      </c>
      <c r="J61" s="126" t="str">
        <f ca="1" t="array" ref="J61">IF(OR(TRIM(INDIRECT("'"&amp;J$6&amp;"'!"&amp;J$4&amp;ROW()-32))="0",INDIRECT("'"&amp;J$6&amp;"'!"&amp;J$4&amp;ROW()-32)="",NOT(ISNUMBER(INDIRECT("'"&amp;J$6&amp;"'!"&amp;J$4&amp;ROW()-32)))),"-",INDIRECT("'"&amp;J$6&amp;"'!"&amp;J$4&amp;ROW()-32))</f>
        <v>-</v>
      </c>
      <c r="K61" s="126" t="str">
        <f ca="1" t="array" ref="K61">IF(OR(TRIM(INDIRECT("'"&amp;K$6&amp;"'!"&amp;K$4&amp;ROW()-32))="0",INDIRECT("'"&amp;K$6&amp;"'!"&amp;K$4&amp;ROW()-32)="",NOT(ISNUMBER(INDIRECT("'"&amp;K$6&amp;"'!"&amp;K$4&amp;ROW()-32)))),"-",INDIRECT("'"&amp;K$6&amp;"'!"&amp;K$4&amp;ROW()-32))</f>
        <v>-</v>
      </c>
      <c r="L61" s="126" t="str">
        <f ca="1" t="array" ref="L61">IF(OR(TRIM(INDIRECT("'"&amp;L$6&amp;"'!"&amp;L$4&amp;ROW()-32))="0",INDIRECT("'"&amp;L$6&amp;"'!"&amp;L$4&amp;ROW()-32)="",NOT(ISNUMBER(INDIRECT("'"&amp;L$6&amp;"'!"&amp;L$4&amp;ROW()-32)))),"-",INDIRECT("'"&amp;L$6&amp;"'!"&amp;L$4&amp;ROW()-32))</f>
        <v>-</v>
      </c>
      <c r="M61" s="126" t="str">
        <f ca="1" t="array" ref="M61">IF(OR(TRIM(INDIRECT("'"&amp;M$6&amp;"'!"&amp;M$4&amp;ROW()-32))="0",INDIRECT("'"&amp;M$6&amp;"'!"&amp;M$4&amp;ROW()-32)="",NOT(ISNUMBER(INDIRECT("'"&amp;M$6&amp;"'!"&amp;M$4&amp;ROW()-32)))),"-",INDIRECT("'"&amp;M$6&amp;"'!"&amp;M$4&amp;ROW()-32))</f>
        <v>-</v>
      </c>
      <c r="N61" s="31">
        <f ca="1" t="shared" si="16"/>
        <v>0</v>
      </c>
      <c r="O61" s="31">
        <f ca="1" t="shared" si="17"/>
        <v>0</v>
      </c>
    </row>
    <row r="62" s="28" customFormat="1" ht="15" customHeight="1" spans="1:15">
      <c r="A62" s="13" t="str">
        <f>'Section-Category'!A16</f>
        <v>&lt;Name-Of-Entry&gt;</v>
      </c>
      <c r="B62" s="126" t="str">
        <f ca="1" t="array" ref="B62">IF(OR(TRIM(INDIRECT("'"&amp;B$6&amp;"'!"&amp;B$4&amp;ROW()-32))="0",INDIRECT("'"&amp;B$6&amp;"'!"&amp;B$4&amp;ROW()-32)="",NOT(ISNUMBER(INDIRECT("'"&amp;B$6&amp;"'!"&amp;B$4&amp;ROW()-32)))),"-",INDIRECT("'"&amp;B$6&amp;"'!"&amp;B$4&amp;ROW()-32))</f>
        <v>-</v>
      </c>
      <c r="C62" s="126" t="str">
        <f ca="1" t="array" ref="C62">IF(OR(TRIM(INDIRECT("'"&amp;C$6&amp;"'!"&amp;C$4&amp;ROW()-32))="0",INDIRECT("'"&amp;C$6&amp;"'!"&amp;C$4&amp;ROW()-32)="",NOT(ISNUMBER(INDIRECT("'"&amp;C$6&amp;"'!"&amp;C$4&amp;ROW()-32)))),"-",INDIRECT("'"&amp;C$6&amp;"'!"&amp;C$4&amp;ROW()-32))</f>
        <v>-</v>
      </c>
      <c r="D62" s="126" t="str">
        <f ca="1" t="array" ref="D62">IF(OR(TRIM(INDIRECT("'"&amp;D$6&amp;"'!"&amp;D$4&amp;ROW()-32))="0",INDIRECT("'"&amp;D$6&amp;"'!"&amp;D$4&amp;ROW()-32)="",NOT(ISNUMBER(INDIRECT("'"&amp;D$6&amp;"'!"&amp;D$4&amp;ROW()-32)))),"-",INDIRECT("'"&amp;D$6&amp;"'!"&amp;D$4&amp;ROW()-32))</f>
        <v>-</v>
      </c>
      <c r="E62" s="126" t="str">
        <f ca="1" t="array" ref="E62">IF(OR(TRIM(INDIRECT("'"&amp;E$6&amp;"'!"&amp;E$4&amp;ROW()-32))="0",INDIRECT("'"&amp;E$6&amp;"'!"&amp;E$4&amp;ROW()-32)="",NOT(ISNUMBER(INDIRECT("'"&amp;E$6&amp;"'!"&amp;E$4&amp;ROW()-32)))),"-",INDIRECT("'"&amp;E$6&amp;"'!"&amp;E$4&amp;ROW()-32))</f>
        <v>-</v>
      </c>
      <c r="F62" s="126" t="str">
        <f ca="1" t="array" ref="F62">IF(OR(TRIM(INDIRECT("'"&amp;F$6&amp;"'!"&amp;F$4&amp;ROW()-32))="0",INDIRECT("'"&amp;F$6&amp;"'!"&amp;F$4&amp;ROW()-32)="",NOT(ISNUMBER(INDIRECT("'"&amp;F$6&amp;"'!"&amp;F$4&amp;ROW()-32)))),"-",INDIRECT("'"&amp;F$6&amp;"'!"&amp;F$4&amp;ROW()-32))</f>
        <v>-</v>
      </c>
      <c r="G62" s="126" t="str">
        <f ca="1" t="array" ref="G62">IF(OR(TRIM(INDIRECT("'"&amp;G$6&amp;"'!"&amp;G$4&amp;ROW()-32))="0",INDIRECT("'"&amp;G$6&amp;"'!"&amp;G$4&amp;ROW()-32)="",NOT(ISNUMBER(INDIRECT("'"&amp;G$6&amp;"'!"&amp;G$4&amp;ROW()-32)))),"-",INDIRECT("'"&amp;G$6&amp;"'!"&amp;G$4&amp;ROW()-32))</f>
        <v>-</v>
      </c>
      <c r="H62" s="126" t="str">
        <f ca="1" t="array" ref="H62">IF(OR(TRIM(INDIRECT("'"&amp;H$6&amp;"'!"&amp;H$4&amp;ROW()-32))="0",INDIRECT("'"&amp;H$6&amp;"'!"&amp;H$4&amp;ROW()-32)="",NOT(ISNUMBER(INDIRECT("'"&amp;H$6&amp;"'!"&amp;H$4&amp;ROW()-32)))),"-",INDIRECT("'"&amp;H$6&amp;"'!"&amp;H$4&amp;ROW()-32))</f>
        <v>-</v>
      </c>
      <c r="I62" s="126" t="str">
        <f ca="1" t="array" ref="I62">IF(OR(TRIM(INDIRECT("'"&amp;I$6&amp;"'!"&amp;I$4&amp;ROW()-32))="0",INDIRECT("'"&amp;I$6&amp;"'!"&amp;I$4&amp;ROW()-32)="",NOT(ISNUMBER(INDIRECT("'"&amp;I$6&amp;"'!"&amp;I$4&amp;ROW()-32)))),"-",INDIRECT("'"&amp;I$6&amp;"'!"&amp;I$4&amp;ROW()-32))</f>
        <v>-</v>
      </c>
      <c r="J62" s="126" t="str">
        <f ca="1" t="array" ref="J62">IF(OR(TRIM(INDIRECT("'"&amp;J$6&amp;"'!"&amp;J$4&amp;ROW()-32))="0",INDIRECT("'"&amp;J$6&amp;"'!"&amp;J$4&amp;ROW()-32)="",NOT(ISNUMBER(INDIRECT("'"&amp;J$6&amp;"'!"&amp;J$4&amp;ROW()-32)))),"-",INDIRECT("'"&amp;J$6&amp;"'!"&amp;J$4&amp;ROW()-32))</f>
        <v>-</v>
      </c>
      <c r="K62" s="126" t="str">
        <f ca="1" t="array" ref="K62">IF(OR(TRIM(INDIRECT("'"&amp;K$6&amp;"'!"&amp;K$4&amp;ROW()-32))="0",INDIRECT("'"&amp;K$6&amp;"'!"&amp;K$4&amp;ROW()-32)="",NOT(ISNUMBER(INDIRECT("'"&amp;K$6&amp;"'!"&amp;K$4&amp;ROW()-32)))),"-",INDIRECT("'"&amp;K$6&amp;"'!"&amp;K$4&amp;ROW()-32))</f>
        <v>-</v>
      </c>
      <c r="L62" s="126" t="str">
        <f ca="1" t="array" ref="L62">IF(OR(TRIM(INDIRECT("'"&amp;L$6&amp;"'!"&amp;L$4&amp;ROW()-32))="0",INDIRECT("'"&amp;L$6&amp;"'!"&amp;L$4&amp;ROW()-32)="",NOT(ISNUMBER(INDIRECT("'"&amp;L$6&amp;"'!"&amp;L$4&amp;ROW()-32)))),"-",INDIRECT("'"&amp;L$6&amp;"'!"&amp;L$4&amp;ROW()-32))</f>
        <v>-</v>
      </c>
      <c r="M62" s="126" t="str">
        <f ca="1" t="array" ref="M62">IF(OR(TRIM(INDIRECT("'"&amp;M$6&amp;"'!"&amp;M$4&amp;ROW()-32))="0",INDIRECT("'"&amp;M$6&amp;"'!"&amp;M$4&amp;ROW()-32)="",NOT(ISNUMBER(INDIRECT("'"&amp;M$6&amp;"'!"&amp;M$4&amp;ROW()-32)))),"-",INDIRECT("'"&amp;M$6&amp;"'!"&amp;M$4&amp;ROW()-32))</f>
        <v>-</v>
      </c>
      <c r="N62" s="31">
        <f ca="1" t="shared" si="16"/>
        <v>0</v>
      </c>
      <c r="O62" s="31">
        <f ca="1" t="shared" si="17"/>
        <v>0</v>
      </c>
    </row>
    <row r="63" s="66" customFormat="1" ht="15" customHeight="1" spans="1:15">
      <c r="A63" s="10" t="str">
        <f>'Section-Category'!A17</f>
        <v>Total SAVINGS EXPENSE</v>
      </c>
      <c r="B63" s="123">
        <f ca="1" t="shared" ref="B63:O63" si="18">SUM(B58:B62)</f>
        <v>0</v>
      </c>
      <c r="C63" s="123">
        <f ca="1" t="shared" si="18"/>
        <v>0</v>
      </c>
      <c r="D63" s="123">
        <f ca="1" t="shared" si="18"/>
        <v>0</v>
      </c>
      <c r="E63" s="123">
        <f ca="1" t="shared" si="18"/>
        <v>0</v>
      </c>
      <c r="F63" s="123">
        <f ca="1" t="shared" si="18"/>
        <v>0</v>
      </c>
      <c r="G63" s="123">
        <f ca="1" t="shared" si="18"/>
        <v>0</v>
      </c>
      <c r="H63" s="123">
        <f ca="1" t="shared" si="18"/>
        <v>0</v>
      </c>
      <c r="I63" s="123">
        <f ca="1" t="shared" si="18"/>
        <v>0</v>
      </c>
      <c r="J63" s="123">
        <f ca="1" t="shared" si="18"/>
        <v>0</v>
      </c>
      <c r="K63" s="123">
        <f ca="1" t="shared" si="18"/>
        <v>0</v>
      </c>
      <c r="L63" s="123">
        <f ca="1" t="shared" si="18"/>
        <v>0</v>
      </c>
      <c r="M63" s="123">
        <f ca="1" t="shared" si="18"/>
        <v>0</v>
      </c>
      <c r="N63" s="39">
        <f ca="1" t="shared" si="18"/>
        <v>0</v>
      </c>
      <c r="O63" s="39">
        <f ca="1" t="shared" si="18"/>
        <v>0</v>
      </c>
    </row>
    <row r="64" s="66" customFormat="1" ht="13.5" customHeight="1" spans="1:15">
      <c r="A64" s="11" t="str">
        <f>'Section-Category'!A18</f>
        <v>% of Total Expenses</v>
      </c>
      <c r="B64" s="124" t="str">
        <f ca="1" t="shared" ref="B64:O64" si="19">IF(B$17=0," - ",B63/B$17)</f>
        <v> - </v>
      </c>
      <c r="C64" s="124" t="str">
        <f ca="1" t="shared" si="19"/>
        <v> - </v>
      </c>
      <c r="D64" s="124" t="str">
        <f ca="1" t="shared" si="19"/>
        <v> - </v>
      </c>
      <c r="E64" s="124" t="str">
        <f ca="1" t="shared" si="19"/>
        <v> - </v>
      </c>
      <c r="F64" s="124" t="str">
        <f ca="1" t="shared" si="19"/>
        <v> - </v>
      </c>
      <c r="G64" s="124" t="str">
        <f ca="1" t="shared" si="19"/>
        <v> - </v>
      </c>
      <c r="H64" s="124" t="str">
        <f ca="1" t="shared" si="19"/>
        <v> - </v>
      </c>
      <c r="I64" s="124" t="str">
        <f ca="1" t="shared" si="19"/>
        <v> - </v>
      </c>
      <c r="J64" s="124" t="str">
        <f ca="1" t="shared" si="19"/>
        <v> - </v>
      </c>
      <c r="K64" s="124" t="str">
        <f ca="1" t="shared" si="19"/>
        <v> - </v>
      </c>
      <c r="L64" s="124" t="str">
        <f ca="1" t="shared" si="19"/>
        <v> - </v>
      </c>
      <c r="M64" s="124" t="str">
        <f ca="1" t="shared" si="19"/>
        <v> - </v>
      </c>
      <c r="N64" s="125" t="str">
        <f ca="1" t="shared" si="19"/>
        <v> - </v>
      </c>
      <c r="O64" s="125" t="str">
        <f ca="1" t="shared" si="19"/>
        <v> - </v>
      </c>
    </row>
    <row r="65" s="28" customFormat="1" ht="13.5" customHeight="1" spans="1:15">
      <c r="A65" s="7"/>
    </row>
    <row r="66" s="62" customFormat="1" spans="1:15">
      <c r="A66" s="12" t="str">
        <f>'Section-Category'!A20</f>
        <v>HOME EXPENSES</v>
      </c>
      <c r="B66" s="40" t="str">
        <f t="shared" ref="B66:M66" si="20">B$6</f>
        <v>Jan</v>
      </c>
      <c r="C66" s="40" t="str">
        <f t="shared" si="20"/>
        <v>Feb</v>
      </c>
      <c r="D66" s="40" t="str">
        <f t="shared" si="20"/>
        <v>Mar</v>
      </c>
      <c r="E66" s="40" t="str">
        <f t="shared" si="20"/>
        <v>Apr</v>
      </c>
      <c r="F66" s="40" t="str">
        <f t="shared" si="20"/>
        <v>May</v>
      </c>
      <c r="G66" s="40" t="str">
        <f t="shared" si="20"/>
        <v>Jun</v>
      </c>
      <c r="H66" s="40" t="str">
        <f t="shared" si="20"/>
        <v>Jul</v>
      </c>
      <c r="I66" s="40" t="str">
        <f t="shared" si="20"/>
        <v>Aug</v>
      </c>
      <c r="J66" s="40" t="str">
        <f t="shared" si="20"/>
        <v>Sep</v>
      </c>
      <c r="K66" s="40" t="str">
        <f t="shared" si="20"/>
        <v>Oct</v>
      </c>
      <c r="L66" s="40" t="str">
        <f t="shared" si="20"/>
        <v>Nov</v>
      </c>
      <c r="M66" s="40" t="str">
        <f t="shared" si="20"/>
        <v>Dec</v>
      </c>
      <c r="N66" s="40" t="s">
        <v>34</v>
      </c>
      <c r="O66" s="40" t="s">
        <v>35</v>
      </c>
    </row>
    <row r="67" s="28" customFormat="1" ht="15" customHeight="1" spans="1:15">
      <c r="A67" s="13" t="str">
        <f>'Section-Category'!A21</f>
        <v>Mortgage/Rent</v>
      </c>
      <c r="B67" s="120" t="str">
        <f ca="1" t="array" ref="B67">IF(OR(TRIM(INDIRECT("'"&amp;B$6&amp;"'!"&amp;B$4&amp;ROW()-33))="0",INDIRECT("'"&amp;B$6&amp;"'!"&amp;B$4&amp;ROW()-33)="",NOT(ISNUMBER(INDIRECT("'"&amp;B$6&amp;"'!"&amp;B$4&amp;ROW()-33)))),"-",INDIRECT("'"&amp;B$6&amp;"'!"&amp;B$4&amp;ROW()-33))</f>
        <v>-</v>
      </c>
      <c r="C67" s="120" t="str">
        <f ca="1" t="array" ref="C67">IF(OR(TRIM(INDIRECT("'"&amp;C$6&amp;"'!"&amp;C$4&amp;ROW()-33))="0",INDIRECT("'"&amp;C$6&amp;"'!"&amp;C$4&amp;ROW()-33)="",NOT(ISNUMBER(INDIRECT("'"&amp;C$6&amp;"'!"&amp;C$4&amp;ROW()-33)))),"-",INDIRECT("'"&amp;C$6&amp;"'!"&amp;C$4&amp;ROW()-33))</f>
        <v>-</v>
      </c>
      <c r="D67" s="120" t="str">
        <f ca="1" t="array" ref="D67">IF(OR(TRIM(INDIRECT("'"&amp;D$6&amp;"'!"&amp;D$4&amp;ROW()-33))="0",INDIRECT("'"&amp;D$6&amp;"'!"&amp;D$4&amp;ROW()-33)="",NOT(ISNUMBER(INDIRECT("'"&amp;D$6&amp;"'!"&amp;D$4&amp;ROW()-33)))),"-",INDIRECT("'"&amp;D$6&amp;"'!"&amp;D$4&amp;ROW()-33))</f>
        <v>-</v>
      </c>
      <c r="E67" s="120" t="str">
        <f ca="1" t="array" ref="E67">IF(OR(TRIM(INDIRECT("'"&amp;E$6&amp;"'!"&amp;E$4&amp;ROW()-33))="0",INDIRECT("'"&amp;E$6&amp;"'!"&amp;E$4&amp;ROW()-33)="",NOT(ISNUMBER(INDIRECT("'"&amp;E$6&amp;"'!"&amp;E$4&amp;ROW()-33)))),"-",INDIRECT("'"&amp;E$6&amp;"'!"&amp;E$4&amp;ROW()-33))</f>
        <v>-</v>
      </c>
      <c r="F67" s="120" t="str">
        <f ca="1" t="array" ref="F67">IF(OR(TRIM(INDIRECT("'"&amp;F$6&amp;"'!"&amp;F$4&amp;ROW()-33))="0",INDIRECT("'"&amp;F$6&amp;"'!"&amp;F$4&amp;ROW()-33)="",NOT(ISNUMBER(INDIRECT("'"&amp;F$6&amp;"'!"&amp;F$4&amp;ROW()-33)))),"-",INDIRECT("'"&amp;F$6&amp;"'!"&amp;F$4&amp;ROW()-33))</f>
        <v>-</v>
      </c>
      <c r="G67" s="120" t="str">
        <f ca="1" t="array" ref="G67">IF(OR(TRIM(INDIRECT("'"&amp;G$6&amp;"'!"&amp;G$4&amp;ROW()-33))="0",INDIRECT("'"&amp;G$6&amp;"'!"&amp;G$4&amp;ROW()-33)="",NOT(ISNUMBER(INDIRECT("'"&amp;G$6&amp;"'!"&amp;G$4&amp;ROW()-33)))),"-",INDIRECT("'"&amp;G$6&amp;"'!"&amp;G$4&amp;ROW()-33))</f>
        <v>-</v>
      </c>
      <c r="H67" s="120" t="str">
        <f ca="1" t="array" ref="H67">IF(OR(TRIM(INDIRECT("'"&amp;H$6&amp;"'!"&amp;H$4&amp;ROW()-33))="0",INDIRECT("'"&amp;H$6&amp;"'!"&amp;H$4&amp;ROW()-33)="",NOT(ISNUMBER(INDIRECT("'"&amp;H$6&amp;"'!"&amp;H$4&amp;ROW()-33)))),"-",INDIRECT("'"&amp;H$6&amp;"'!"&amp;H$4&amp;ROW()-33))</f>
        <v>-</v>
      </c>
      <c r="I67" s="120" t="str">
        <f ca="1" t="array" ref="I67">IF(OR(TRIM(INDIRECT("'"&amp;I$6&amp;"'!"&amp;I$4&amp;ROW()-33))="0",INDIRECT("'"&amp;I$6&amp;"'!"&amp;I$4&amp;ROW()-33)="",NOT(ISNUMBER(INDIRECT("'"&amp;I$6&amp;"'!"&amp;I$4&amp;ROW()-33)))),"-",INDIRECT("'"&amp;I$6&amp;"'!"&amp;I$4&amp;ROW()-33))</f>
        <v>-</v>
      </c>
      <c r="J67" s="120" t="str">
        <f ca="1" t="array" ref="J67">IF(OR(TRIM(INDIRECT("'"&amp;J$6&amp;"'!"&amp;J$4&amp;ROW()-33))="0",INDIRECT("'"&amp;J$6&amp;"'!"&amp;J$4&amp;ROW()-33)="",NOT(ISNUMBER(INDIRECT("'"&amp;J$6&amp;"'!"&amp;J$4&amp;ROW()-33)))),"-",INDIRECT("'"&amp;J$6&amp;"'!"&amp;J$4&amp;ROW()-33))</f>
        <v>-</v>
      </c>
      <c r="K67" s="120" t="str">
        <f ca="1" t="array" ref="K67">IF(OR(TRIM(INDIRECT("'"&amp;K$6&amp;"'!"&amp;K$4&amp;ROW()-33))="0",INDIRECT("'"&amp;K$6&amp;"'!"&amp;K$4&amp;ROW()-33)="",NOT(ISNUMBER(INDIRECT("'"&amp;K$6&amp;"'!"&amp;K$4&amp;ROW()-33)))),"-",INDIRECT("'"&amp;K$6&amp;"'!"&amp;K$4&amp;ROW()-33))</f>
        <v>-</v>
      </c>
      <c r="L67" s="120" t="str">
        <f ca="1" t="array" ref="L67">IF(OR(TRIM(INDIRECT("'"&amp;L$6&amp;"'!"&amp;L$4&amp;ROW()-33))="0",INDIRECT("'"&amp;L$6&amp;"'!"&amp;L$4&amp;ROW()-33)="",NOT(ISNUMBER(INDIRECT("'"&amp;L$6&amp;"'!"&amp;L$4&amp;ROW()-33)))),"-",INDIRECT("'"&amp;L$6&amp;"'!"&amp;L$4&amp;ROW()-33))</f>
        <v>-</v>
      </c>
      <c r="M67" s="120" t="str">
        <f ca="1" t="array" ref="M67">IF(OR(TRIM(INDIRECT("'"&amp;M$6&amp;"'!"&amp;M$4&amp;ROW()-33))="0",INDIRECT("'"&amp;M$6&amp;"'!"&amp;M$4&amp;ROW()-33)="",NOT(ISNUMBER(INDIRECT("'"&amp;M$6&amp;"'!"&amp;M$4&amp;ROW()-33)))),"-",INDIRECT("'"&amp;M$6&amp;"'!"&amp;M$4&amp;ROW()-33))</f>
        <v>-</v>
      </c>
      <c r="N67" s="31">
        <f ca="1" t="shared" ref="N67:N79" si="21">SUM(B67:M67)</f>
        <v>0</v>
      </c>
      <c r="O67" s="31">
        <f ca="1" t="shared" ref="O67:O79" si="22">N67/COLUMNS(B67:M67)</f>
        <v>0</v>
      </c>
    </row>
    <row r="68" s="28" customFormat="1" ht="15" customHeight="1" spans="1:15">
      <c r="A68" s="13" t="str">
        <f>'Section-Category'!A22</f>
        <v>Electricity</v>
      </c>
      <c r="B68" s="120" t="str">
        <f ca="1" t="array" ref="B68">IF(OR(TRIM(INDIRECT("'"&amp;B$6&amp;"'!"&amp;B$4&amp;ROW()-33))="0",INDIRECT("'"&amp;B$6&amp;"'!"&amp;B$4&amp;ROW()-33)="",NOT(ISNUMBER(INDIRECT("'"&amp;B$6&amp;"'!"&amp;B$4&amp;ROW()-33)))),"-",INDIRECT("'"&amp;B$6&amp;"'!"&amp;B$4&amp;ROW()-33))</f>
        <v>-</v>
      </c>
      <c r="C68" s="120" t="str">
        <f ca="1" t="array" ref="C68">IF(OR(TRIM(INDIRECT("'"&amp;C$6&amp;"'!"&amp;C$4&amp;ROW()-33))="0",INDIRECT("'"&amp;C$6&amp;"'!"&amp;C$4&amp;ROW()-33)="",NOT(ISNUMBER(INDIRECT("'"&amp;C$6&amp;"'!"&amp;C$4&amp;ROW()-33)))),"-",INDIRECT("'"&amp;C$6&amp;"'!"&amp;C$4&amp;ROW()-33))</f>
        <v>-</v>
      </c>
      <c r="D68" s="120" t="str">
        <f ca="1" t="array" ref="D68">IF(OR(TRIM(INDIRECT("'"&amp;D$6&amp;"'!"&amp;D$4&amp;ROW()-33))="0",INDIRECT("'"&amp;D$6&amp;"'!"&amp;D$4&amp;ROW()-33)="",NOT(ISNUMBER(INDIRECT("'"&amp;D$6&amp;"'!"&amp;D$4&amp;ROW()-33)))),"-",INDIRECT("'"&amp;D$6&amp;"'!"&amp;D$4&amp;ROW()-33))</f>
        <v>-</v>
      </c>
      <c r="E68" s="120" t="str">
        <f ca="1" t="array" ref="E68">IF(OR(TRIM(INDIRECT("'"&amp;E$6&amp;"'!"&amp;E$4&amp;ROW()-33))="0",INDIRECT("'"&amp;E$6&amp;"'!"&amp;E$4&amp;ROW()-33)="",NOT(ISNUMBER(INDIRECT("'"&amp;E$6&amp;"'!"&amp;E$4&amp;ROW()-33)))),"-",INDIRECT("'"&amp;E$6&amp;"'!"&amp;E$4&amp;ROW()-33))</f>
        <v>-</v>
      </c>
      <c r="F68" s="120" t="str">
        <f ca="1" t="array" ref="F68">IF(OR(TRIM(INDIRECT("'"&amp;F$6&amp;"'!"&amp;F$4&amp;ROW()-33))="0",INDIRECT("'"&amp;F$6&amp;"'!"&amp;F$4&amp;ROW()-33)="",NOT(ISNUMBER(INDIRECT("'"&amp;F$6&amp;"'!"&amp;F$4&amp;ROW()-33)))),"-",INDIRECT("'"&amp;F$6&amp;"'!"&amp;F$4&amp;ROW()-33))</f>
        <v>-</v>
      </c>
      <c r="G68" s="120" t="str">
        <f ca="1" t="array" ref="G68">IF(OR(TRIM(INDIRECT("'"&amp;G$6&amp;"'!"&amp;G$4&amp;ROW()-33))="0",INDIRECT("'"&amp;G$6&amp;"'!"&amp;G$4&amp;ROW()-33)="",NOT(ISNUMBER(INDIRECT("'"&amp;G$6&amp;"'!"&amp;G$4&amp;ROW()-33)))),"-",INDIRECT("'"&amp;G$6&amp;"'!"&amp;G$4&amp;ROW()-33))</f>
        <v>-</v>
      </c>
      <c r="H68" s="120" t="str">
        <f ca="1" t="array" ref="H68">IF(OR(TRIM(INDIRECT("'"&amp;H$6&amp;"'!"&amp;H$4&amp;ROW()-33))="0",INDIRECT("'"&amp;H$6&amp;"'!"&amp;H$4&amp;ROW()-33)="",NOT(ISNUMBER(INDIRECT("'"&amp;H$6&amp;"'!"&amp;H$4&amp;ROW()-33)))),"-",INDIRECT("'"&amp;H$6&amp;"'!"&amp;H$4&amp;ROW()-33))</f>
        <v>-</v>
      </c>
      <c r="I68" s="120" t="str">
        <f ca="1" t="array" ref="I68">IF(OR(TRIM(INDIRECT("'"&amp;I$6&amp;"'!"&amp;I$4&amp;ROW()-33))="0",INDIRECT("'"&amp;I$6&amp;"'!"&amp;I$4&amp;ROW()-33)="",NOT(ISNUMBER(INDIRECT("'"&amp;I$6&amp;"'!"&amp;I$4&amp;ROW()-33)))),"-",INDIRECT("'"&amp;I$6&amp;"'!"&amp;I$4&amp;ROW()-33))</f>
        <v>-</v>
      </c>
      <c r="J68" s="120" t="str">
        <f ca="1" t="array" ref="J68">IF(OR(TRIM(INDIRECT("'"&amp;J$6&amp;"'!"&amp;J$4&amp;ROW()-33))="0",INDIRECT("'"&amp;J$6&amp;"'!"&amp;J$4&amp;ROW()-33)="",NOT(ISNUMBER(INDIRECT("'"&amp;J$6&amp;"'!"&amp;J$4&amp;ROW()-33)))),"-",INDIRECT("'"&amp;J$6&amp;"'!"&amp;J$4&amp;ROW()-33))</f>
        <v>-</v>
      </c>
      <c r="K68" s="120" t="str">
        <f ca="1" t="array" ref="K68">IF(OR(TRIM(INDIRECT("'"&amp;K$6&amp;"'!"&amp;K$4&amp;ROW()-33))="0",INDIRECT("'"&amp;K$6&amp;"'!"&amp;K$4&amp;ROW()-33)="",NOT(ISNUMBER(INDIRECT("'"&amp;K$6&amp;"'!"&amp;K$4&amp;ROW()-33)))),"-",INDIRECT("'"&amp;K$6&amp;"'!"&amp;K$4&amp;ROW()-33))</f>
        <v>-</v>
      </c>
      <c r="L68" s="120" t="str">
        <f ca="1" t="array" ref="L68">IF(OR(TRIM(INDIRECT("'"&amp;L$6&amp;"'!"&amp;L$4&amp;ROW()-33))="0",INDIRECT("'"&amp;L$6&amp;"'!"&amp;L$4&amp;ROW()-33)="",NOT(ISNUMBER(INDIRECT("'"&amp;L$6&amp;"'!"&amp;L$4&amp;ROW()-33)))),"-",INDIRECT("'"&amp;L$6&amp;"'!"&amp;L$4&amp;ROW()-33))</f>
        <v>-</v>
      </c>
      <c r="M68" s="120" t="str">
        <f ca="1" t="array" ref="M68">IF(OR(TRIM(INDIRECT("'"&amp;M$6&amp;"'!"&amp;M$4&amp;ROW()-33))="0",INDIRECT("'"&amp;M$6&amp;"'!"&amp;M$4&amp;ROW()-33)="",NOT(ISNUMBER(INDIRECT("'"&amp;M$6&amp;"'!"&amp;M$4&amp;ROW()-33)))),"-",INDIRECT("'"&amp;M$6&amp;"'!"&amp;M$4&amp;ROW()-33))</f>
        <v>-</v>
      </c>
      <c r="N68" s="31">
        <f ca="1" t="shared" si="21"/>
        <v>0</v>
      </c>
      <c r="O68" s="31">
        <f ca="1" t="shared" si="22"/>
        <v>0</v>
      </c>
    </row>
    <row r="69" s="28" customFormat="1" ht="15" customHeight="1" spans="1:15">
      <c r="A69" s="13" t="str">
        <f>'Section-Category'!A23</f>
        <v>Gas/Oil</v>
      </c>
      <c r="B69" s="120" t="str">
        <f ca="1" t="array" ref="B69">IF(OR(TRIM(INDIRECT("'"&amp;B$6&amp;"'!"&amp;B$4&amp;ROW()-33))="0",INDIRECT("'"&amp;B$6&amp;"'!"&amp;B$4&amp;ROW()-33)="",NOT(ISNUMBER(INDIRECT("'"&amp;B$6&amp;"'!"&amp;B$4&amp;ROW()-33)))),"-",INDIRECT("'"&amp;B$6&amp;"'!"&amp;B$4&amp;ROW()-33))</f>
        <v>-</v>
      </c>
      <c r="C69" s="120" t="str">
        <f ca="1" t="array" ref="C69">IF(OR(TRIM(INDIRECT("'"&amp;C$6&amp;"'!"&amp;C$4&amp;ROW()-33))="0",INDIRECT("'"&amp;C$6&amp;"'!"&amp;C$4&amp;ROW()-33)="",NOT(ISNUMBER(INDIRECT("'"&amp;C$6&amp;"'!"&amp;C$4&amp;ROW()-33)))),"-",INDIRECT("'"&amp;C$6&amp;"'!"&amp;C$4&amp;ROW()-33))</f>
        <v>-</v>
      </c>
      <c r="D69" s="120" t="str">
        <f ca="1" t="array" ref="D69">IF(OR(TRIM(INDIRECT("'"&amp;D$6&amp;"'!"&amp;D$4&amp;ROW()-33))="0",INDIRECT("'"&amp;D$6&amp;"'!"&amp;D$4&amp;ROW()-33)="",NOT(ISNUMBER(INDIRECT("'"&amp;D$6&amp;"'!"&amp;D$4&amp;ROW()-33)))),"-",INDIRECT("'"&amp;D$6&amp;"'!"&amp;D$4&amp;ROW()-33))</f>
        <v>-</v>
      </c>
      <c r="E69" s="120" t="str">
        <f ca="1" t="array" ref="E69">IF(OR(TRIM(INDIRECT("'"&amp;E$6&amp;"'!"&amp;E$4&amp;ROW()-33))="0",INDIRECT("'"&amp;E$6&amp;"'!"&amp;E$4&amp;ROW()-33)="",NOT(ISNUMBER(INDIRECT("'"&amp;E$6&amp;"'!"&amp;E$4&amp;ROW()-33)))),"-",INDIRECT("'"&amp;E$6&amp;"'!"&amp;E$4&amp;ROW()-33))</f>
        <v>-</v>
      </c>
      <c r="F69" s="120" t="str">
        <f ca="1" t="array" ref="F69">IF(OR(TRIM(INDIRECT("'"&amp;F$6&amp;"'!"&amp;F$4&amp;ROW()-33))="0",INDIRECT("'"&amp;F$6&amp;"'!"&amp;F$4&amp;ROW()-33)="",NOT(ISNUMBER(INDIRECT("'"&amp;F$6&amp;"'!"&amp;F$4&amp;ROW()-33)))),"-",INDIRECT("'"&amp;F$6&amp;"'!"&amp;F$4&amp;ROW()-33))</f>
        <v>-</v>
      </c>
      <c r="G69" s="120" t="str">
        <f ca="1" t="array" ref="G69">IF(OR(TRIM(INDIRECT("'"&amp;G$6&amp;"'!"&amp;G$4&amp;ROW()-33))="0",INDIRECT("'"&amp;G$6&amp;"'!"&amp;G$4&amp;ROW()-33)="",NOT(ISNUMBER(INDIRECT("'"&amp;G$6&amp;"'!"&amp;G$4&amp;ROW()-33)))),"-",INDIRECT("'"&amp;G$6&amp;"'!"&amp;G$4&amp;ROW()-33))</f>
        <v>-</v>
      </c>
      <c r="H69" s="120" t="str">
        <f ca="1" t="array" ref="H69">IF(OR(TRIM(INDIRECT("'"&amp;H$6&amp;"'!"&amp;H$4&amp;ROW()-33))="0",INDIRECT("'"&amp;H$6&amp;"'!"&amp;H$4&amp;ROW()-33)="",NOT(ISNUMBER(INDIRECT("'"&amp;H$6&amp;"'!"&amp;H$4&amp;ROW()-33)))),"-",INDIRECT("'"&amp;H$6&amp;"'!"&amp;H$4&amp;ROW()-33))</f>
        <v>-</v>
      </c>
      <c r="I69" s="120" t="str">
        <f ca="1" t="array" ref="I69">IF(OR(TRIM(INDIRECT("'"&amp;I$6&amp;"'!"&amp;I$4&amp;ROW()-33))="0",INDIRECT("'"&amp;I$6&amp;"'!"&amp;I$4&amp;ROW()-33)="",NOT(ISNUMBER(INDIRECT("'"&amp;I$6&amp;"'!"&amp;I$4&amp;ROW()-33)))),"-",INDIRECT("'"&amp;I$6&amp;"'!"&amp;I$4&amp;ROW()-33))</f>
        <v>-</v>
      </c>
      <c r="J69" s="120" t="str">
        <f ca="1" t="array" ref="J69">IF(OR(TRIM(INDIRECT("'"&amp;J$6&amp;"'!"&amp;J$4&amp;ROW()-33))="0",INDIRECT("'"&amp;J$6&amp;"'!"&amp;J$4&amp;ROW()-33)="",NOT(ISNUMBER(INDIRECT("'"&amp;J$6&amp;"'!"&amp;J$4&amp;ROW()-33)))),"-",INDIRECT("'"&amp;J$6&amp;"'!"&amp;J$4&amp;ROW()-33))</f>
        <v>-</v>
      </c>
      <c r="K69" s="120" t="str">
        <f ca="1" t="array" ref="K69">IF(OR(TRIM(INDIRECT("'"&amp;K$6&amp;"'!"&amp;K$4&amp;ROW()-33))="0",INDIRECT("'"&amp;K$6&amp;"'!"&amp;K$4&amp;ROW()-33)="",NOT(ISNUMBER(INDIRECT("'"&amp;K$6&amp;"'!"&amp;K$4&amp;ROW()-33)))),"-",INDIRECT("'"&amp;K$6&amp;"'!"&amp;K$4&amp;ROW()-33))</f>
        <v>-</v>
      </c>
      <c r="L69" s="120" t="str">
        <f ca="1" t="array" ref="L69">IF(OR(TRIM(INDIRECT("'"&amp;L$6&amp;"'!"&amp;L$4&amp;ROW()-33))="0",INDIRECT("'"&amp;L$6&amp;"'!"&amp;L$4&amp;ROW()-33)="",NOT(ISNUMBER(INDIRECT("'"&amp;L$6&amp;"'!"&amp;L$4&amp;ROW()-33)))),"-",INDIRECT("'"&amp;L$6&amp;"'!"&amp;L$4&amp;ROW()-33))</f>
        <v>-</v>
      </c>
      <c r="M69" s="120" t="str">
        <f ca="1" t="array" ref="M69">IF(OR(TRIM(INDIRECT("'"&amp;M$6&amp;"'!"&amp;M$4&amp;ROW()-33))="0",INDIRECT("'"&amp;M$6&amp;"'!"&amp;M$4&amp;ROW()-33)="",NOT(ISNUMBER(INDIRECT("'"&amp;M$6&amp;"'!"&amp;M$4&amp;ROW()-33)))),"-",INDIRECT("'"&amp;M$6&amp;"'!"&amp;M$4&amp;ROW()-33))</f>
        <v>-</v>
      </c>
      <c r="N69" s="31">
        <f ca="1" t="shared" si="21"/>
        <v>0</v>
      </c>
      <c r="O69" s="31">
        <f ca="1" t="shared" si="22"/>
        <v>0</v>
      </c>
    </row>
    <row r="70" s="28" customFormat="1" ht="15" customHeight="1" spans="1:15">
      <c r="A70" s="13" t="str">
        <f>'Section-Category'!A24</f>
        <v>Water/Sewer/Trash</v>
      </c>
      <c r="B70" s="120" t="str">
        <f ca="1" t="array" ref="B70">IF(OR(TRIM(INDIRECT("'"&amp;B$6&amp;"'!"&amp;B$4&amp;ROW()-33))="0",INDIRECT("'"&amp;B$6&amp;"'!"&amp;B$4&amp;ROW()-33)="",NOT(ISNUMBER(INDIRECT("'"&amp;B$6&amp;"'!"&amp;B$4&amp;ROW()-33)))),"-",INDIRECT("'"&amp;B$6&amp;"'!"&amp;B$4&amp;ROW()-33))</f>
        <v>-</v>
      </c>
      <c r="C70" s="120" t="str">
        <f ca="1" t="array" ref="C70">IF(OR(TRIM(INDIRECT("'"&amp;C$6&amp;"'!"&amp;C$4&amp;ROW()-33))="0",INDIRECT("'"&amp;C$6&amp;"'!"&amp;C$4&amp;ROW()-33)="",NOT(ISNUMBER(INDIRECT("'"&amp;C$6&amp;"'!"&amp;C$4&amp;ROW()-33)))),"-",INDIRECT("'"&amp;C$6&amp;"'!"&amp;C$4&amp;ROW()-33))</f>
        <v>-</v>
      </c>
      <c r="D70" s="120" t="str">
        <f ca="1" t="array" ref="D70">IF(OR(TRIM(INDIRECT("'"&amp;D$6&amp;"'!"&amp;D$4&amp;ROW()-33))="0",INDIRECT("'"&amp;D$6&amp;"'!"&amp;D$4&amp;ROW()-33)="",NOT(ISNUMBER(INDIRECT("'"&amp;D$6&amp;"'!"&amp;D$4&amp;ROW()-33)))),"-",INDIRECT("'"&amp;D$6&amp;"'!"&amp;D$4&amp;ROW()-33))</f>
        <v>-</v>
      </c>
      <c r="E70" s="120" t="str">
        <f ca="1" t="array" ref="E70">IF(OR(TRIM(INDIRECT("'"&amp;E$6&amp;"'!"&amp;E$4&amp;ROW()-33))="0",INDIRECT("'"&amp;E$6&amp;"'!"&amp;E$4&amp;ROW()-33)="",NOT(ISNUMBER(INDIRECT("'"&amp;E$6&amp;"'!"&amp;E$4&amp;ROW()-33)))),"-",INDIRECT("'"&amp;E$6&amp;"'!"&amp;E$4&amp;ROW()-33))</f>
        <v>-</v>
      </c>
      <c r="F70" s="120" t="str">
        <f ca="1" t="array" ref="F70">IF(OR(TRIM(INDIRECT("'"&amp;F$6&amp;"'!"&amp;F$4&amp;ROW()-33))="0",INDIRECT("'"&amp;F$6&amp;"'!"&amp;F$4&amp;ROW()-33)="",NOT(ISNUMBER(INDIRECT("'"&amp;F$6&amp;"'!"&amp;F$4&amp;ROW()-33)))),"-",INDIRECT("'"&amp;F$6&amp;"'!"&amp;F$4&amp;ROW()-33))</f>
        <v>-</v>
      </c>
      <c r="G70" s="120" t="str">
        <f ca="1" t="array" ref="G70">IF(OR(TRIM(INDIRECT("'"&amp;G$6&amp;"'!"&amp;G$4&amp;ROW()-33))="0",INDIRECT("'"&amp;G$6&amp;"'!"&amp;G$4&amp;ROW()-33)="",NOT(ISNUMBER(INDIRECT("'"&amp;G$6&amp;"'!"&amp;G$4&amp;ROW()-33)))),"-",INDIRECT("'"&amp;G$6&amp;"'!"&amp;G$4&amp;ROW()-33))</f>
        <v>-</v>
      </c>
      <c r="H70" s="120" t="str">
        <f ca="1" t="array" ref="H70">IF(OR(TRIM(INDIRECT("'"&amp;H$6&amp;"'!"&amp;H$4&amp;ROW()-33))="0",INDIRECT("'"&amp;H$6&amp;"'!"&amp;H$4&amp;ROW()-33)="",NOT(ISNUMBER(INDIRECT("'"&amp;H$6&amp;"'!"&amp;H$4&amp;ROW()-33)))),"-",INDIRECT("'"&amp;H$6&amp;"'!"&amp;H$4&amp;ROW()-33))</f>
        <v>-</v>
      </c>
      <c r="I70" s="120" t="str">
        <f ca="1" t="array" ref="I70">IF(OR(TRIM(INDIRECT("'"&amp;I$6&amp;"'!"&amp;I$4&amp;ROW()-33))="0",INDIRECT("'"&amp;I$6&amp;"'!"&amp;I$4&amp;ROW()-33)="",NOT(ISNUMBER(INDIRECT("'"&amp;I$6&amp;"'!"&amp;I$4&amp;ROW()-33)))),"-",INDIRECT("'"&amp;I$6&amp;"'!"&amp;I$4&amp;ROW()-33))</f>
        <v>-</v>
      </c>
      <c r="J70" s="120" t="str">
        <f ca="1" t="array" ref="J70">IF(OR(TRIM(INDIRECT("'"&amp;J$6&amp;"'!"&amp;J$4&amp;ROW()-33))="0",INDIRECT("'"&amp;J$6&amp;"'!"&amp;J$4&amp;ROW()-33)="",NOT(ISNUMBER(INDIRECT("'"&amp;J$6&amp;"'!"&amp;J$4&amp;ROW()-33)))),"-",INDIRECT("'"&amp;J$6&amp;"'!"&amp;J$4&amp;ROW()-33))</f>
        <v>-</v>
      </c>
      <c r="K70" s="120" t="str">
        <f ca="1" t="array" ref="K70">IF(OR(TRIM(INDIRECT("'"&amp;K$6&amp;"'!"&amp;K$4&amp;ROW()-33))="0",INDIRECT("'"&amp;K$6&amp;"'!"&amp;K$4&amp;ROW()-33)="",NOT(ISNUMBER(INDIRECT("'"&amp;K$6&amp;"'!"&amp;K$4&amp;ROW()-33)))),"-",INDIRECT("'"&amp;K$6&amp;"'!"&amp;K$4&amp;ROW()-33))</f>
        <v>-</v>
      </c>
      <c r="L70" s="120" t="str">
        <f ca="1" t="array" ref="L70">IF(OR(TRIM(INDIRECT("'"&amp;L$6&amp;"'!"&amp;L$4&amp;ROW()-33))="0",INDIRECT("'"&amp;L$6&amp;"'!"&amp;L$4&amp;ROW()-33)="",NOT(ISNUMBER(INDIRECT("'"&amp;L$6&amp;"'!"&amp;L$4&amp;ROW()-33)))),"-",INDIRECT("'"&amp;L$6&amp;"'!"&amp;L$4&amp;ROW()-33))</f>
        <v>-</v>
      </c>
      <c r="M70" s="120" t="str">
        <f ca="1" t="array" ref="M70">IF(OR(TRIM(INDIRECT("'"&amp;M$6&amp;"'!"&amp;M$4&amp;ROW()-33))="0",INDIRECT("'"&amp;M$6&amp;"'!"&amp;M$4&amp;ROW()-33)="",NOT(ISNUMBER(INDIRECT("'"&amp;M$6&amp;"'!"&amp;M$4&amp;ROW()-33)))),"-",INDIRECT("'"&amp;M$6&amp;"'!"&amp;M$4&amp;ROW()-33))</f>
        <v>-</v>
      </c>
      <c r="N70" s="31">
        <f ca="1" t="shared" si="21"/>
        <v>0</v>
      </c>
      <c r="O70" s="31">
        <f ca="1" t="shared" si="22"/>
        <v>0</v>
      </c>
    </row>
    <row r="71" s="28" customFormat="1" ht="15" customHeight="1" spans="1:15">
      <c r="A71" s="13" t="str">
        <f>'Section-Category'!A25</f>
        <v>Phone</v>
      </c>
      <c r="B71" s="120" t="str">
        <f ca="1" t="array" ref="B71">IF(OR(TRIM(INDIRECT("'"&amp;B$6&amp;"'!"&amp;B$4&amp;ROW()-33))="0",INDIRECT("'"&amp;B$6&amp;"'!"&amp;B$4&amp;ROW()-33)="",NOT(ISNUMBER(INDIRECT("'"&amp;B$6&amp;"'!"&amp;B$4&amp;ROW()-33)))),"-",INDIRECT("'"&amp;B$6&amp;"'!"&amp;B$4&amp;ROW()-33))</f>
        <v>-</v>
      </c>
      <c r="C71" s="120" t="str">
        <f ca="1" t="array" ref="C71">IF(OR(TRIM(INDIRECT("'"&amp;C$6&amp;"'!"&amp;C$4&amp;ROW()-33))="0",INDIRECT("'"&amp;C$6&amp;"'!"&amp;C$4&amp;ROW()-33)="",NOT(ISNUMBER(INDIRECT("'"&amp;C$6&amp;"'!"&amp;C$4&amp;ROW()-33)))),"-",INDIRECT("'"&amp;C$6&amp;"'!"&amp;C$4&amp;ROW()-33))</f>
        <v>-</v>
      </c>
      <c r="D71" s="120" t="str">
        <f ca="1" t="array" ref="D71">IF(OR(TRIM(INDIRECT("'"&amp;D$6&amp;"'!"&amp;D$4&amp;ROW()-33))="0",INDIRECT("'"&amp;D$6&amp;"'!"&amp;D$4&amp;ROW()-33)="",NOT(ISNUMBER(INDIRECT("'"&amp;D$6&amp;"'!"&amp;D$4&amp;ROW()-33)))),"-",INDIRECT("'"&amp;D$6&amp;"'!"&amp;D$4&amp;ROW()-33))</f>
        <v>-</v>
      </c>
      <c r="E71" s="120" t="str">
        <f ca="1" t="array" ref="E71">IF(OR(TRIM(INDIRECT("'"&amp;E$6&amp;"'!"&amp;E$4&amp;ROW()-33))="0",INDIRECT("'"&amp;E$6&amp;"'!"&amp;E$4&amp;ROW()-33)="",NOT(ISNUMBER(INDIRECT("'"&amp;E$6&amp;"'!"&amp;E$4&amp;ROW()-33)))),"-",INDIRECT("'"&amp;E$6&amp;"'!"&amp;E$4&amp;ROW()-33))</f>
        <v>-</v>
      </c>
      <c r="F71" s="120" t="str">
        <f ca="1" t="array" ref="F71">IF(OR(TRIM(INDIRECT("'"&amp;F$6&amp;"'!"&amp;F$4&amp;ROW()-33))="0",INDIRECT("'"&amp;F$6&amp;"'!"&amp;F$4&amp;ROW()-33)="",NOT(ISNUMBER(INDIRECT("'"&amp;F$6&amp;"'!"&amp;F$4&amp;ROW()-33)))),"-",INDIRECT("'"&amp;F$6&amp;"'!"&amp;F$4&amp;ROW()-33))</f>
        <v>-</v>
      </c>
      <c r="G71" s="120" t="str">
        <f ca="1" t="array" ref="G71">IF(OR(TRIM(INDIRECT("'"&amp;G$6&amp;"'!"&amp;G$4&amp;ROW()-33))="0",INDIRECT("'"&amp;G$6&amp;"'!"&amp;G$4&amp;ROW()-33)="",NOT(ISNUMBER(INDIRECT("'"&amp;G$6&amp;"'!"&amp;G$4&amp;ROW()-33)))),"-",INDIRECT("'"&amp;G$6&amp;"'!"&amp;G$4&amp;ROW()-33))</f>
        <v>-</v>
      </c>
      <c r="H71" s="120" t="str">
        <f ca="1" t="array" ref="H71">IF(OR(TRIM(INDIRECT("'"&amp;H$6&amp;"'!"&amp;H$4&amp;ROW()-33))="0",INDIRECT("'"&amp;H$6&amp;"'!"&amp;H$4&amp;ROW()-33)="",NOT(ISNUMBER(INDIRECT("'"&amp;H$6&amp;"'!"&amp;H$4&amp;ROW()-33)))),"-",INDIRECT("'"&amp;H$6&amp;"'!"&amp;H$4&amp;ROW()-33))</f>
        <v>-</v>
      </c>
      <c r="I71" s="120" t="str">
        <f ca="1" t="array" ref="I71">IF(OR(TRIM(INDIRECT("'"&amp;I$6&amp;"'!"&amp;I$4&amp;ROW()-33))="0",INDIRECT("'"&amp;I$6&amp;"'!"&amp;I$4&amp;ROW()-33)="",NOT(ISNUMBER(INDIRECT("'"&amp;I$6&amp;"'!"&amp;I$4&amp;ROW()-33)))),"-",INDIRECT("'"&amp;I$6&amp;"'!"&amp;I$4&amp;ROW()-33))</f>
        <v>-</v>
      </c>
      <c r="J71" s="120" t="str">
        <f ca="1" t="array" ref="J71">IF(OR(TRIM(INDIRECT("'"&amp;J$6&amp;"'!"&amp;J$4&amp;ROW()-33))="0",INDIRECT("'"&amp;J$6&amp;"'!"&amp;J$4&amp;ROW()-33)="",NOT(ISNUMBER(INDIRECT("'"&amp;J$6&amp;"'!"&amp;J$4&amp;ROW()-33)))),"-",INDIRECT("'"&amp;J$6&amp;"'!"&amp;J$4&amp;ROW()-33))</f>
        <v>-</v>
      </c>
      <c r="K71" s="120" t="str">
        <f ca="1" t="array" ref="K71">IF(OR(TRIM(INDIRECT("'"&amp;K$6&amp;"'!"&amp;K$4&amp;ROW()-33))="0",INDIRECT("'"&amp;K$6&amp;"'!"&amp;K$4&amp;ROW()-33)="",NOT(ISNUMBER(INDIRECT("'"&amp;K$6&amp;"'!"&amp;K$4&amp;ROW()-33)))),"-",INDIRECT("'"&amp;K$6&amp;"'!"&amp;K$4&amp;ROW()-33))</f>
        <v>-</v>
      </c>
      <c r="L71" s="120" t="str">
        <f ca="1" t="array" ref="L71">IF(OR(TRIM(INDIRECT("'"&amp;L$6&amp;"'!"&amp;L$4&amp;ROW()-33))="0",INDIRECT("'"&amp;L$6&amp;"'!"&amp;L$4&amp;ROW()-33)="",NOT(ISNUMBER(INDIRECT("'"&amp;L$6&amp;"'!"&amp;L$4&amp;ROW()-33)))),"-",INDIRECT("'"&amp;L$6&amp;"'!"&amp;L$4&amp;ROW()-33))</f>
        <v>-</v>
      </c>
      <c r="M71" s="120" t="str">
        <f ca="1" t="array" ref="M71">IF(OR(TRIM(INDIRECT("'"&amp;M$6&amp;"'!"&amp;M$4&amp;ROW()-33))="0",INDIRECT("'"&amp;M$6&amp;"'!"&amp;M$4&amp;ROW()-33)="",NOT(ISNUMBER(INDIRECT("'"&amp;M$6&amp;"'!"&amp;M$4&amp;ROW()-33)))),"-",INDIRECT("'"&amp;M$6&amp;"'!"&amp;M$4&amp;ROW()-33))</f>
        <v>-</v>
      </c>
      <c r="N71" s="31">
        <f ca="1" t="shared" si="21"/>
        <v>0</v>
      </c>
      <c r="O71" s="31">
        <f ca="1" t="shared" si="22"/>
        <v>0</v>
      </c>
    </row>
    <row r="72" s="28" customFormat="1" ht="15" customHeight="1" spans="1:15">
      <c r="A72" s="13" t="str">
        <f>'Section-Category'!A26</f>
        <v>Cable/Satellite</v>
      </c>
      <c r="B72" s="120" t="str">
        <f ca="1" t="array" ref="B72">IF(OR(TRIM(INDIRECT("'"&amp;B$6&amp;"'!"&amp;B$4&amp;ROW()-33))="0",INDIRECT("'"&amp;B$6&amp;"'!"&amp;B$4&amp;ROW()-33)="",NOT(ISNUMBER(INDIRECT("'"&amp;B$6&amp;"'!"&amp;B$4&amp;ROW()-33)))),"-",INDIRECT("'"&amp;B$6&amp;"'!"&amp;B$4&amp;ROW()-33))</f>
        <v>-</v>
      </c>
      <c r="C72" s="120" t="str">
        <f ca="1" t="array" ref="C72">IF(OR(TRIM(INDIRECT("'"&amp;C$6&amp;"'!"&amp;C$4&amp;ROW()-33))="0",INDIRECT("'"&amp;C$6&amp;"'!"&amp;C$4&amp;ROW()-33)="",NOT(ISNUMBER(INDIRECT("'"&amp;C$6&amp;"'!"&amp;C$4&amp;ROW()-33)))),"-",INDIRECT("'"&amp;C$6&amp;"'!"&amp;C$4&amp;ROW()-33))</f>
        <v>-</v>
      </c>
      <c r="D72" s="120" t="str">
        <f ca="1" t="array" ref="D72">IF(OR(TRIM(INDIRECT("'"&amp;D$6&amp;"'!"&amp;D$4&amp;ROW()-33))="0",INDIRECT("'"&amp;D$6&amp;"'!"&amp;D$4&amp;ROW()-33)="",NOT(ISNUMBER(INDIRECT("'"&amp;D$6&amp;"'!"&amp;D$4&amp;ROW()-33)))),"-",INDIRECT("'"&amp;D$6&amp;"'!"&amp;D$4&amp;ROW()-33))</f>
        <v>-</v>
      </c>
      <c r="E72" s="120" t="str">
        <f ca="1" t="array" ref="E72">IF(OR(TRIM(INDIRECT("'"&amp;E$6&amp;"'!"&amp;E$4&amp;ROW()-33))="0",INDIRECT("'"&amp;E$6&amp;"'!"&amp;E$4&amp;ROW()-33)="",NOT(ISNUMBER(INDIRECT("'"&amp;E$6&amp;"'!"&amp;E$4&amp;ROW()-33)))),"-",INDIRECT("'"&amp;E$6&amp;"'!"&amp;E$4&amp;ROW()-33))</f>
        <v>-</v>
      </c>
      <c r="F72" s="120" t="str">
        <f ca="1" t="array" ref="F72">IF(OR(TRIM(INDIRECT("'"&amp;F$6&amp;"'!"&amp;F$4&amp;ROW()-33))="0",INDIRECT("'"&amp;F$6&amp;"'!"&amp;F$4&amp;ROW()-33)="",NOT(ISNUMBER(INDIRECT("'"&amp;F$6&amp;"'!"&amp;F$4&amp;ROW()-33)))),"-",INDIRECT("'"&amp;F$6&amp;"'!"&amp;F$4&amp;ROW()-33))</f>
        <v>-</v>
      </c>
      <c r="G72" s="120" t="str">
        <f ca="1" t="array" ref="G72">IF(OR(TRIM(INDIRECT("'"&amp;G$6&amp;"'!"&amp;G$4&amp;ROW()-33))="0",INDIRECT("'"&amp;G$6&amp;"'!"&amp;G$4&amp;ROW()-33)="",NOT(ISNUMBER(INDIRECT("'"&amp;G$6&amp;"'!"&amp;G$4&amp;ROW()-33)))),"-",INDIRECT("'"&amp;G$6&amp;"'!"&amp;G$4&amp;ROW()-33))</f>
        <v>-</v>
      </c>
      <c r="H72" s="120" t="str">
        <f ca="1" t="array" ref="H72">IF(OR(TRIM(INDIRECT("'"&amp;H$6&amp;"'!"&amp;H$4&amp;ROW()-33))="0",INDIRECT("'"&amp;H$6&amp;"'!"&amp;H$4&amp;ROW()-33)="",NOT(ISNUMBER(INDIRECT("'"&amp;H$6&amp;"'!"&amp;H$4&amp;ROW()-33)))),"-",INDIRECT("'"&amp;H$6&amp;"'!"&amp;H$4&amp;ROW()-33))</f>
        <v>-</v>
      </c>
      <c r="I72" s="120" t="str">
        <f ca="1" t="array" ref="I72">IF(OR(TRIM(INDIRECT("'"&amp;I$6&amp;"'!"&amp;I$4&amp;ROW()-33))="0",INDIRECT("'"&amp;I$6&amp;"'!"&amp;I$4&amp;ROW()-33)="",NOT(ISNUMBER(INDIRECT("'"&amp;I$6&amp;"'!"&amp;I$4&amp;ROW()-33)))),"-",INDIRECT("'"&amp;I$6&amp;"'!"&amp;I$4&amp;ROW()-33))</f>
        <v>-</v>
      </c>
      <c r="J72" s="120" t="str">
        <f ca="1" t="array" ref="J72">IF(OR(TRIM(INDIRECT("'"&amp;J$6&amp;"'!"&amp;J$4&amp;ROW()-33))="0",INDIRECT("'"&amp;J$6&amp;"'!"&amp;J$4&amp;ROW()-33)="",NOT(ISNUMBER(INDIRECT("'"&amp;J$6&amp;"'!"&amp;J$4&amp;ROW()-33)))),"-",INDIRECT("'"&amp;J$6&amp;"'!"&amp;J$4&amp;ROW()-33))</f>
        <v>-</v>
      </c>
      <c r="K72" s="120" t="str">
        <f ca="1" t="array" ref="K72">IF(OR(TRIM(INDIRECT("'"&amp;K$6&amp;"'!"&amp;K$4&amp;ROW()-33))="0",INDIRECT("'"&amp;K$6&amp;"'!"&amp;K$4&amp;ROW()-33)="",NOT(ISNUMBER(INDIRECT("'"&amp;K$6&amp;"'!"&amp;K$4&amp;ROW()-33)))),"-",INDIRECT("'"&amp;K$6&amp;"'!"&amp;K$4&amp;ROW()-33))</f>
        <v>-</v>
      </c>
      <c r="L72" s="120" t="str">
        <f ca="1" t="array" ref="L72">IF(OR(TRIM(INDIRECT("'"&amp;L$6&amp;"'!"&amp;L$4&amp;ROW()-33))="0",INDIRECT("'"&amp;L$6&amp;"'!"&amp;L$4&amp;ROW()-33)="",NOT(ISNUMBER(INDIRECT("'"&amp;L$6&amp;"'!"&amp;L$4&amp;ROW()-33)))),"-",INDIRECT("'"&amp;L$6&amp;"'!"&amp;L$4&amp;ROW()-33))</f>
        <v>-</v>
      </c>
      <c r="M72" s="120" t="str">
        <f ca="1" t="array" ref="M72">IF(OR(TRIM(INDIRECT("'"&amp;M$6&amp;"'!"&amp;M$4&amp;ROW()-33))="0",INDIRECT("'"&amp;M$6&amp;"'!"&amp;M$4&amp;ROW()-33)="",NOT(ISNUMBER(INDIRECT("'"&amp;M$6&amp;"'!"&amp;M$4&amp;ROW()-33)))),"-",INDIRECT("'"&amp;M$6&amp;"'!"&amp;M$4&amp;ROW()-33))</f>
        <v>-</v>
      </c>
      <c r="N72" s="31">
        <f ca="1" t="shared" si="21"/>
        <v>0</v>
      </c>
      <c r="O72" s="31">
        <f ca="1" t="shared" si="22"/>
        <v>0</v>
      </c>
    </row>
    <row r="73" s="28" customFormat="1" ht="15" customHeight="1" spans="1:15">
      <c r="A73" s="13" t="str">
        <f>'Section-Category'!A27</f>
        <v>Internet</v>
      </c>
      <c r="B73" s="120" t="str">
        <f ca="1" t="array" ref="B73">IF(OR(TRIM(INDIRECT("'"&amp;B$6&amp;"'!"&amp;B$4&amp;ROW()-33))="0",INDIRECT("'"&amp;B$6&amp;"'!"&amp;B$4&amp;ROW()-33)="",NOT(ISNUMBER(INDIRECT("'"&amp;B$6&amp;"'!"&amp;B$4&amp;ROW()-33)))),"-",INDIRECT("'"&amp;B$6&amp;"'!"&amp;B$4&amp;ROW()-33))</f>
        <v>-</v>
      </c>
      <c r="C73" s="120" t="str">
        <f ca="1" t="array" ref="C73">IF(OR(TRIM(INDIRECT("'"&amp;C$6&amp;"'!"&amp;C$4&amp;ROW()-33))="0",INDIRECT("'"&amp;C$6&amp;"'!"&amp;C$4&amp;ROW()-33)="",NOT(ISNUMBER(INDIRECT("'"&amp;C$6&amp;"'!"&amp;C$4&amp;ROW()-33)))),"-",INDIRECT("'"&amp;C$6&amp;"'!"&amp;C$4&amp;ROW()-33))</f>
        <v>-</v>
      </c>
      <c r="D73" s="120" t="str">
        <f ca="1" t="array" ref="D73">IF(OR(TRIM(INDIRECT("'"&amp;D$6&amp;"'!"&amp;D$4&amp;ROW()-33))="0",INDIRECT("'"&amp;D$6&amp;"'!"&amp;D$4&amp;ROW()-33)="",NOT(ISNUMBER(INDIRECT("'"&amp;D$6&amp;"'!"&amp;D$4&amp;ROW()-33)))),"-",INDIRECT("'"&amp;D$6&amp;"'!"&amp;D$4&amp;ROW()-33))</f>
        <v>-</v>
      </c>
      <c r="E73" s="120" t="str">
        <f ca="1" t="array" ref="E73">IF(OR(TRIM(INDIRECT("'"&amp;E$6&amp;"'!"&amp;E$4&amp;ROW()-33))="0",INDIRECT("'"&amp;E$6&amp;"'!"&amp;E$4&amp;ROW()-33)="",NOT(ISNUMBER(INDIRECT("'"&amp;E$6&amp;"'!"&amp;E$4&amp;ROW()-33)))),"-",INDIRECT("'"&amp;E$6&amp;"'!"&amp;E$4&amp;ROW()-33))</f>
        <v>-</v>
      </c>
      <c r="F73" s="120" t="str">
        <f ca="1" t="array" ref="F73">IF(OR(TRIM(INDIRECT("'"&amp;F$6&amp;"'!"&amp;F$4&amp;ROW()-33))="0",INDIRECT("'"&amp;F$6&amp;"'!"&amp;F$4&amp;ROW()-33)="",NOT(ISNUMBER(INDIRECT("'"&amp;F$6&amp;"'!"&amp;F$4&amp;ROW()-33)))),"-",INDIRECT("'"&amp;F$6&amp;"'!"&amp;F$4&amp;ROW()-33))</f>
        <v>-</v>
      </c>
      <c r="G73" s="120" t="str">
        <f ca="1" t="array" ref="G73">IF(OR(TRIM(INDIRECT("'"&amp;G$6&amp;"'!"&amp;G$4&amp;ROW()-33))="0",INDIRECT("'"&amp;G$6&amp;"'!"&amp;G$4&amp;ROW()-33)="",NOT(ISNUMBER(INDIRECT("'"&amp;G$6&amp;"'!"&amp;G$4&amp;ROW()-33)))),"-",INDIRECT("'"&amp;G$6&amp;"'!"&amp;G$4&amp;ROW()-33))</f>
        <v>-</v>
      </c>
      <c r="H73" s="120" t="str">
        <f ca="1" t="array" ref="H73">IF(OR(TRIM(INDIRECT("'"&amp;H$6&amp;"'!"&amp;H$4&amp;ROW()-33))="0",INDIRECT("'"&amp;H$6&amp;"'!"&amp;H$4&amp;ROW()-33)="",NOT(ISNUMBER(INDIRECT("'"&amp;H$6&amp;"'!"&amp;H$4&amp;ROW()-33)))),"-",INDIRECT("'"&amp;H$6&amp;"'!"&amp;H$4&amp;ROW()-33))</f>
        <v>-</v>
      </c>
      <c r="I73" s="120" t="str">
        <f ca="1" t="array" ref="I73">IF(OR(TRIM(INDIRECT("'"&amp;I$6&amp;"'!"&amp;I$4&amp;ROW()-33))="0",INDIRECT("'"&amp;I$6&amp;"'!"&amp;I$4&amp;ROW()-33)="",NOT(ISNUMBER(INDIRECT("'"&amp;I$6&amp;"'!"&amp;I$4&amp;ROW()-33)))),"-",INDIRECT("'"&amp;I$6&amp;"'!"&amp;I$4&amp;ROW()-33))</f>
        <v>-</v>
      </c>
      <c r="J73" s="120" t="str">
        <f ca="1" t="array" ref="J73">IF(OR(TRIM(INDIRECT("'"&amp;J$6&amp;"'!"&amp;J$4&amp;ROW()-33))="0",INDIRECT("'"&amp;J$6&amp;"'!"&amp;J$4&amp;ROW()-33)="",NOT(ISNUMBER(INDIRECT("'"&amp;J$6&amp;"'!"&amp;J$4&amp;ROW()-33)))),"-",INDIRECT("'"&amp;J$6&amp;"'!"&amp;J$4&amp;ROW()-33))</f>
        <v>-</v>
      </c>
      <c r="K73" s="120" t="str">
        <f ca="1" t="array" ref="K73">IF(OR(TRIM(INDIRECT("'"&amp;K$6&amp;"'!"&amp;K$4&amp;ROW()-33))="0",INDIRECT("'"&amp;K$6&amp;"'!"&amp;K$4&amp;ROW()-33)="",NOT(ISNUMBER(INDIRECT("'"&amp;K$6&amp;"'!"&amp;K$4&amp;ROW()-33)))),"-",INDIRECT("'"&amp;K$6&amp;"'!"&amp;K$4&amp;ROW()-33))</f>
        <v>-</v>
      </c>
      <c r="L73" s="120" t="str">
        <f ca="1" t="array" ref="L73">IF(OR(TRIM(INDIRECT("'"&amp;L$6&amp;"'!"&amp;L$4&amp;ROW()-33))="0",INDIRECT("'"&amp;L$6&amp;"'!"&amp;L$4&amp;ROW()-33)="",NOT(ISNUMBER(INDIRECT("'"&amp;L$6&amp;"'!"&amp;L$4&amp;ROW()-33)))),"-",INDIRECT("'"&amp;L$6&amp;"'!"&amp;L$4&amp;ROW()-33))</f>
        <v>-</v>
      </c>
      <c r="M73" s="120" t="str">
        <f ca="1" t="array" ref="M73">IF(OR(TRIM(INDIRECT("'"&amp;M$6&amp;"'!"&amp;M$4&amp;ROW()-33))="0",INDIRECT("'"&amp;M$6&amp;"'!"&amp;M$4&amp;ROW()-33)="",NOT(ISNUMBER(INDIRECT("'"&amp;M$6&amp;"'!"&amp;M$4&amp;ROW()-33)))),"-",INDIRECT("'"&amp;M$6&amp;"'!"&amp;M$4&amp;ROW()-33))</f>
        <v>-</v>
      </c>
      <c r="N73" s="31">
        <f ca="1" t="shared" si="21"/>
        <v>0</v>
      </c>
      <c r="O73" s="31">
        <f ca="1" t="shared" si="22"/>
        <v>0</v>
      </c>
    </row>
    <row r="74" s="28" customFormat="1" ht="15" customHeight="1" spans="1:15">
      <c r="A74" s="13" t="str">
        <f>'Section-Category'!A28</f>
        <v>Furnishings/Appliances</v>
      </c>
      <c r="B74" s="120" t="str">
        <f ca="1" t="array" ref="B74">IF(OR(TRIM(INDIRECT("'"&amp;B$6&amp;"'!"&amp;B$4&amp;ROW()-33))="0",INDIRECT("'"&amp;B$6&amp;"'!"&amp;B$4&amp;ROW()-33)="",NOT(ISNUMBER(INDIRECT("'"&amp;B$6&amp;"'!"&amp;B$4&amp;ROW()-33)))),"-",INDIRECT("'"&amp;B$6&amp;"'!"&amp;B$4&amp;ROW()-33))</f>
        <v>-</v>
      </c>
      <c r="C74" s="120" t="str">
        <f ca="1" t="array" ref="C74">IF(OR(TRIM(INDIRECT("'"&amp;C$6&amp;"'!"&amp;C$4&amp;ROW()-33))="0",INDIRECT("'"&amp;C$6&amp;"'!"&amp;C$4&amp;ROW()-33)="",NOT(ISNUMBER(INDIRECT("'"&amp;C$6&amp;"'!"&amp;C$4&amp;ROW()-33)))),"-",INDIRECT("'"&amp;C$6&amp;"'!"&amp;C$4&amp;ROW()-33))</f>
        <v>-</v>
      </c>
      <c r="D74" s="120" t="str">
        <f ca="1" t="array" ref="D74">IF(OR(TRIM(INDIRECT("'"&amp;D$6&amp;"'!"&amp;D$4&amp;ROW()-33))="0",INDIRECT("'"&amp;D$6&amp;"'!"&amp;D$4&amp;ROW()-33)="",NOT(ISNUMBER(INDIRECT("'"&amp;D$6&amp;"'!"&amp;D$4&amp;ROW()-33)))),"-",INDIRECT("'"&amp;D$6&amp;"'!"&amp;D$4&amp;ROW()-33))</f>
        <v>-</v>
      </c>
      <c r="E74" s="120" t="str">
        <f ca="1" t="array" ref="E74">IF(OR(TRIM(INDIRECT("'"&amp;E$6&amp;"'!"&amp;E$4&amp;ROW()-33))="0",INDIRECT("'"&amp;E$6&amp;"'!"&amp;E$4&amp;ROW()-33)="",NOT(ISNUMBER(INDIRECT("'"&amp;E$6&amp;"'!"&amp;E$4&amp;ROW()-33)))),"-",INDIRECT("'"&amp;E$6&amp;"'!"&amp;E$4&amp;ROW()-33))</f>
        <v>-</v>
      </c>
      <c r="F74" s="120" t="str">
        <f ca="1" t="array" ref="F74">IF(OR(TRIM(INDIRECT("'"&amp;F$6&amp;"'!"&amp;F$4&amp;ROW()-33))="0",INDIRECT("'"&amp;F$6&amp;"'!"&amp;F$4&amp;ROW()-33)="",NOT(ISNUMBER(INDIRECT("'"&amp;F$6&amp;"'!"&amp;F$4&amp;ROW()-33)))),"-",INDIRECT("'"&amp;F$6&amp;"'!"&amp;F$4&amp;ROW()-33))</f>
        <v>-</v>
      </c>
      <c r="G74" s="120" t="str">
        <f ca="1" t="array" ref="G74">IF(OR(TRIM(INDIRECT("'"&amp;G$6&amp;"'!"&amp;G$4&amp;ROW()-33))="0",INDIRECT("'"&amp;G$6&amp;"'!"&amp;G$4&amp;ROW()-33)="",NOT(ISNUMBER(INDIRECT("'"&amp;G$6&amp;"'!"&amp;G$4&amp;ROW()-33)))),"-",INDIRECT("'"&amp;G$6&amp;"'!"&amp;G$4&amp;ROW()-33))</f>
        <v>-</v>
      </c>
      <c r="H74" s="120" t="str">
        <f ca="1" t="array" ref="H74">IF(OR(TRIM(INDIRECT("'"&amp;H$6&amp;"'!"&amp;H$4&amp;ROW()-33))="0",INDIRECT("'"&amp;H$6&amp;"'!"&amp;H$4&amp;ROW()-33)="",NOT(ISNUMBER(INDIRECT("'"&amp;H$6&amp;"'!"&amp;H$4&amp;ROW()-33)))),"-",INDIRECT("'"&amp;H$6&amp;"'!"&amp;H$4&amp;ROW()-33))</f>
        <v>-</v>
      </c>
      <c r="I74" s="120" t="str">
        <f ca="1" t="array" ref="I74">IF(OR(TRIM(INDIRECT("'"&amp;I$6&amp;"'!"&amp;I$4&amp;ROW()-33))="0",INDIRECT("'"&amp;I$6&amp;"'!"&amp;I$4&amp;ROW()-33)="",NOT(ISNUMBER(INDIRECT("'"&amp;I$6&amp;"'!"&amp;I$4&amp;ROW()-33)))),"-",INDIRECT("'"&amp;I$6&amp;"'!"&amp;I$4&amp;ROW()-33))</f>
        <v>-</v>
      </c>
      <c r="J74" s="120" t="str">
        <f ca="1" t="array" ref="J74">IF(OR(TRIM(INDIRECT("'"&amp;J$6&amp;"'!"&amp;J$4&amp;ROW()-33))="0",INDIRECT("'"&amp;J$6&amp;"'!"&amp;J$4&amp;ROW()-33)="",NOT(ISNUMBER(INDIRECT("'"&amp;J$6&amp;"'!"&amp;J$4&amp;ROW()-33)))),"-",INDIRECT("'"&amp;J$6&amp;"'!"&amp;J$4&amp;ROW()-33))</f>
        <v>-</v>
      </c>
      <c r="K74" s="120" t="str">
        <f ca="1" t="array" ref="K74">IF(OR(TRIM(INDIRECT("'"&amp;K$6&amp;"'!"&amp;K$4&amp;ROW()-33))="0",INDIRECT("'"&amp;K$6&amp;"'!"&amp;K$4&amp;ROW()-33)="",NOT(ISNUMBER(INDIRECT("'"&amp;K$6&amp;"'!"&amp;K$4&amp;ROW()-33)))),"-",INDIRECT("'"&amp;K$6&amp;"'!"&amp;K$4&amp;ROW()-33))</f>
        <v>-</v>
      </c>
      <c r="L74" s="120" t="str">
        <f ca="1" t="array" ref="L74">IF(OR(TRIM(INDIRECT("'"&amp;L$6&amp;"'!"&amp;L$4&amp;ROW()-33))="0",INDIRECT("'"&amp;L$6&amp;"'!"&amp;L$4&amp;ROW()-33)="",NOT(ISNUMBER(INDIRECT("'"&amp;L$6&amp;"'!"&amp;L$4&amp;ROW()-33)))),"-",INDIRECT("'"&amp;L$6&amp;"'!"&amp;L$4&amp;ROW()-33))</f>
        <v>-</v>
      </c>
      <c r="M74" s="120" t="str">
        <f ca="1" t="array" ref="M74">IF(OR(TRIM(INDIRECT("'"&amp;M$6&amp;"'!"&amp;M$4&amp;ROW()-33))="0",INDIRECT("'"&amp;M$6&amp;"'!"&amp;M$4&amp;ROW()-33)="",NOT(ISNUMBER(INDIRECT("'"&amp;M$6&amp;"'!"&amp;M$4&amp;ROW()-33)))),"-",INDIRECT("'"&amp;M$6&amp;"'!"&amp;M$4&amp;ROW()-33))</f>
        <v>-</v>
      </c>
      <c r="N74" s="31">
        <f ca="1" t="shared" si="21"/>
        <v>0</v>
      </c>
      <c r="O74" s="31">
        <f ca="1" t="shared" si="22"/>
        <v>0</v>
      </c>
    </row>
    <row r="75" s="28" customFormat="1" ht="15" customHeight="1" spans="1:15">
      <c r="A75" s="13" t="str">
        <f>'Section-Category'!A29</f>
        <v>Lawn/Garden</v>
      </c>
      <c r="B75" s="120" t="str">
        <f ca="1" t="array" ref="B75">IF(OR(TRIM(INDIRECT("'"&amp;B$6&amp;"'!"&amp;B$4&amp;ROW()-33))="0",INDIRECT("'"&amp;B$6&amp;"'!"&amp;B$4&amp;ROW()-33)="",NOT(ISNUMBER(INDIRECT("'"&amp;B$6&amp;"'!"&amp;B$4&amp;ROW()-33)))),"-",INDIRECT("'"&amp;B$6&amp;"'!"&amp;B$4&amp;ROW()-33))</f>
        <v>-</v>
      </c>
      <c r="C75" s="120" t="str">
        <f ca="1" t="array" ref="C75">IF(OR(TRIM(INDIRECT("'"&amp;C$6&amp;"'!"&amp;C$4&amp;ROW()-33))="0",INDIRECT("'"&amp;C$6&amp;"'!"&amp;C$4&amp;ROW()-33)="",NOT(ISNUMBER(INDIRECT("'"&amp;C$6&amp;"'!"&amp;C$4&amp;ROW()-33)))),"-",INDIRECT("'"&amp;C$6&amp;"'!"&amp;C$4&amp;ROW()-33))</f>
        <v>-</v>
      </c>
      <c r="D75" s="120" t="str">
        <f ca="1" t="array" ref="D75">IF(OR(TRIM(INDIRECT("'"&amp;D$6&amp;"'!"&amp;D$4&amp;ROW()-33))="0",INDIRECT("'"&amp;D$6&amp;"'!"&amp;D$4&amp;ROW()-33)="",NOT(ISNUMBER(INDIRECT("'"&amp;D$6&amp;"'!"&amp;D$4&amp;ROW()-33)))),"-",INDIRECT("'"&amp;D$6&amp;"'!"&amp;D$4&amp;ROW()-33))</f>
        <v>-</v>
      </c>
      <c r="E75" s="120" t="str">
        <f ca="1" t="array" ref="E75">IF(OR(TRIM(INDIRECT("'"&amp;E$6&amp;"'!"&amp;E$4&amp;ROW()-33))="0",INDIRECT("'"&amp;E$6&amp;"'!"&amp;E$4&amp;ROW()-33)="",NOT(ISNUMBER(INDIRECT("'"&amp;E$6&amp;"'!"&amp;E$4&amp;ROW()-33)))),"-",INDIRECT("'"&amp;E$6&amp;"'!"&amp;E$4&amp;ROW()-33))</f>
        <v>-</v>
      </c>
      <c r="F75" s="120" t="str">
        <f ca="1" t="array" ref="F75">IF(OR(TRIM(INDIRECT("'"&amp;F$6&amp;"'!"&amp;F$4&amp;ROW()-33))="0",INDIRECT("'"&amp;F$6&amp;"'!"&amp;F$4&amp;ROW()-33)="",NOT(ISNUMBER(INDIRECT("'"&amp;F$6&amp;"'!"&amp;F$4&amp;ROW()-33)))),"-",INDIRECT("'"&amp;F$6&amp;"'!"&amp;F$4&amp;ROW()-33))</f>
        <v>-</v>
      </c>
      <c r="G75" s="120" t="str">
        <f ca="1" t="array" ref="G75">IF(OR(TRIM(INDIRECT("'"&amp;G$6&amp;"'!"&amp;G$4&amp;ROW()-33))="0",INDIRECT("'"&amp;G$6&amp;"'!"&amp;G$4&amp;ROW()-33)="",NOT(ISNUMBER(INDIRECT("'"&amp;G$6&amp;"'!"&amp;G$4&amp;ROW()-33)))),"-",INDIRECT("'"&amp;G$6&amp;"'!"&amp;G$4&amp;ROW()-33))</f>
        <v>-</v>
      </c>
      <c r="H75" s="120" t="str">
        <f ca="1" t="array" ref="H75">IF(OR(TRIM(INDIRECT("'"&amp;H$6&amp;"'!"&amp;H$4&amp;ROW()-33))="0",INDIRECT("'"&amp;H$6&amp;"'!"&amp;H$4&amp;ROW()-33)="",NOT(ISNUMBER(INDIRECT("'"&amp;H$6&amp;"'!"&amp;H$4&amp;ROW()-33)))),"-",INDIRECT("'"&amp;H$6&amp;"'!"&amp;H$4&amp;ROW()-33))</f>
        <v>-</v>
      </c>
      <c r="I75" s="120" t="str">
        <f ca="1" t="array" ref="I75">IF(OR(TRIM(INDIRECT("'"&amp;I$6&amp;"'!"&amp;I$4&amp;ROW()-33))="0",INDIRECT("'"&amp;I$6&amp;"'!"&amp;I$4&amp;ROW()-33)="",NOT(ISNUMBER(INDIRECT("'"&amp;I$6&amp;"'!"&amp;I$4&amp;ROW()-33)))),"-",INDIRECT("'"&amp;I$6&amp;"'!"&amp;I$4&amp;ROW()-33))</f>
        <v>-</v>
      </c>
      <c r="J75" s="120" t="str">
        <f ca="1" t="array" ref="J75">IF(OR(TRIM(INDIRECT("'"&amp;J$6&amp;"'!"&amp;J$4&amp;ROW()-33))="0",INDIRECT("'"&amp;J$6&amp;"'!"&amp;J$4&amp;ROW()-33)="",NOT(ISNUMBER(INDIRECT("'"&amp;J$6&amp;"'!"&amp;J$4&amp;ROW()-33)))),"-",INDIRECT("'"&amp;J$6&amp;"'!"&amp;J$4&amp;ROW()-33))</f>
        <v>-</v>
      </c>
      <c r="K75" s="120" t="str">
        <f ca="1" t="array" ref="K75">IF(OR(TRIM(INDIRECT("'"&amp;K$6&amp;"'!"&amp;K$4&amp;ROW()-33))="0",INDIRECT("'"&amp;K$6&amp;"'!"&amp;K$4&amp;ROW()-33)="",NOT(ISNUMBER(INDIRECT("'"&amp;K$6&amp;"'!"&amp;K$4&amp;ROW()-33)))),"-",INDIRECT("'"&amp;K$6&amp;"'!"&amp;K$4&amp;ROW()-33))</f>
        <v>-</v>
      </c>
      <c r="L75" s="120" t="str">
        <f ca="1" t="array" ref="L75">IF(OR(TRIM(INDIRECT("'"&amp;L$6&amp;"'!"&amp;L$4&amp;ROW()-33))="0",INDIRECT("'"&amp;L$6&amp;"'!"&amp;L$4&amp;ROW()-33)="",NOT(ISNUMBER(INDIRECT("'"&amp;L$6&amp;"'!"&amp;L$4&amp;ROW()-33)))),"-",INDIRECT("'"&amp;L$6&amp;"'!"&amp;L$4&amp;ROW()-33))</f>
        <v>-</v>
      </c>
      <c r="M75" s="120" t="str">
        <f ca="1" t="array" ref="M75">IF(OR(TRIM(INDIRECT("'"&amp;M$6&amp;"'!"&amp;M$4&amp;ROW()-33))="0",INDIRECT("'"&amp;M$6&amp;"'!"&amp;M$4&amp;ROW()-33)="",NOT(ISNUMBER(INDIRECT("'"&amp;M$6&amp;"'!"&amp;M$4&amp;ROW()-33)))),"-",INDIRECT("'"&amp;M$6&amp;"'!"&amp;M$4&amp;ROW()-33))</f>
        <v>-</v>
      </c>
      <c r="N75" s="31">
        <f ca="1" t="shared" si="21"/>
        <v>0</v>
      </c>
      <c r="O75" s="31">
        <f ca="1" t="shared" si="22"/>
        <v>0</v>
      </c>
    </row>
    <row r="76" s="28" customFormat="1" ht="15" customHeight="1" spans="1:15">
      <c r="A76" s="13" t="str">
        <f>'Section-Category'!A30</f>
        <v>Home Supplies</v>
      </c>
      <c r="B76" s="120" t="str">
        <f ca="1" t="array" ref="B76">IF(OR(TRIM(INDIRECT("'"&amp;B$6&amp;"'!"&amp;B$4&amp;ROW()-33))="0",INDIRECT("'"&amp;B$6&amp;"'!"&amp;B$4&amp;ROW()-33)="",NOT(ISNUMBER(INDIRECT("'"&amp;B$6&amp;"'!"&amp;B$4&amp;ROW()-33)))),"-",INDIRECT("'"&amp;B$6&amp;"'!"&amp;B$4&amp;ROW()-33))</f>
        <v>-</v>
      </c>
      <c r="C76" s="120" t="str">
        <f ca="1" t="array" ref="C76">IF(OR(TRIM(INDIRECT("'"&amp;C$6&amp;"'!"&amp;C$4&amp;ROW()-33))="0",INDIRECT("'"&amp;C$6&amp;"'!"&amp;C$4&amp;ROW()-33)="",NOT(ISNUMBER(INDIRECT("'"&amp;C$6&amp;"'!"&amp;C$4&amp;ROW()-33)))),"-",INDIRECT("'"&amp;C$6&amp;"'!"&amp;C$4&amp;ROW()-33))</f>
        <v>-</v>
      </c>
      <c r="D76" s="120" t="str">
        <f ca="1" t="array" ref="D76">IF(OR(TRIM(INDIRECT("'"&amp;D$6&amp;"'!"&amp;D$4&amp;ROW()-33))="0",INDIRECT("'"&amp;D$6&amp;"'!"&amp;D$4&amp;ROW()-33)="",NOT(ISNUMBER(INDIRECT("'"&amp;D$6&amp;"'!"&amp;D$4&amp;ROW()-33)))),"-",INDIRECT("'"&amp;D$6&amp;"'!"&amp;D$4&amp;ROW()-33))</f>
        <v>-</v>
      </c>
      <c r="E76" s="120" t="str">
        <f ca="1" t="array" ref="E76">IF(OR(TRIM(INDIRECT("'"&amp;E$6&amp;"'!"&amp;E$4&amp;ROW()-33))="0",INDIRECT("'"&amp;E$6&amp;"'!"&amp;E$4&amp;ROW()-33)="",NOT(ISNUMBER(INDIRECT("'"&amp;E$6&amp;"'!"&amp;E$4&amp;ROW()-33)))),"-",INDIRECT("'"&amp;E$6&amp;"'!"&amp;E$4&amp;ROW()-33))</f>
        <v>-</v>
      </c>
      <c r="F76" s="120" t="str">
        <f ca="1" t="array" ref="F76">IF(OR(TRIM(INDIRECT("'"&amp;F$6&amp;"'!"&amp;F$4&amp;ROW()-33))="0",INDIRECT("'"&amp;F$6&amp;"'!"&amp;F$4&amp;ROW()-33)="",NOT(ISNUMBER(INDIRECT("'"&amp;F$6&amp;"'!"&amp;F$4&amp;ROW()-33)))),"-",INDIRECT("'"&amp;F$6&amp;"'!"&amp;F$4&amp;ROW()-33))</f>
        <v>-</v>
      </c>
      <c r="G76" s="120" t="str">
        <f ca="1" t="array" ref="G76">IF(OR(TRIM(INDIRECT("'"&amp;G$6&amp;"'!"&amp;G$4&amp;ROW()-33))="0",INDIRECT("'"&amp;G$6&amp;"'!"&amp;G$4&amp;ROW()-33)="",NOT(ISNUMBER(INDIRECT("'"&amp;G$6&amp;"'!"&amp;G$4&amp;ROW()-33)))),"-",INDIRECT("'"&amp;G$6&amp;"'!"&amp;G$4&amp;ROW()-33))</f>
        <v>-</v>
      </c>
      <c r="H76" s="120" t="str">
        <f ca="1" t="array" ref="H76">IF(OR(TRIM(INDIRECT("'"&amp;H$6&amp;"'!"&amp;H$4&amp;ROW()-33))="0",INDIRECT("'"&amp;H$6&amp;"'!"&amp;H$4&amp;ROW()-33)="",NOT(ISNUMBER(INDIRECT("'"&amp;H$6&amp;"'!"&amp;H$4&amp;ROW()-33)))),"-",INDIRECT("'"&amp;H$6&amp;"'!"&amp;H$4&amp;ROW()-33))</f>
        <v>-</v>
      </c>
      <c r="I76" s="120" t="str">
        <f ca="1" t="array" ref="I76">IF(OR(TRIM(INDIRECT("'"&amp;I$6&amp;"'!"&amp;I$4&amp;ROW()-33))="0",INDIRECT("'"&amp;I$6&amp;"'!"&amp;I$4&amp;ROW()-33)="",NOT(ISNUMBER(INDIRECT("'"&amp;I$6&amp;"'!"&amp;I$4&amp;ROW()-33)))),"-",INDIRECT("'"&amp;I$6&amp;"'!"&amp;I$4&amp;ROW()-33))</f>
        <v>-</v>
      </c>
      <c r="J76" s="120" t="str">
        <f ca="1" t="array" ref="J76">IF(OR(TRIM(INDIRECT("'"&amp;J$6&amp;"'!"&amp;J$4&amp;ROW()-33))="0",INDIRECT("'"&amp;J$6&amp;"'!"&amp;J$4&amp;ROW()-33)="",NOT(ISNUMBER(INDIRECT("'"&amp;J$6&amp;"'!"&amp;J$4&amp;ROW()-33)))),"-",INDIRECT("'"&amp;J$6&amp;"'!"&amp;J$4&amp;ROW()-33))</f>
        <v>-</v>
      </c>
      <c r="K76" s="120" t="str">
        <f ca="1" t="array" ref="K76">IF(OR(TRIM(INDIRECT("'"&amp;K$6&amp;"'!"&amp;K$4&amp;ROW()-33))="0",INDIRECT("'"&amp;K$6&amp;"'!"&amp;K$4&amp;ROW()-33)="",NOT(ISNUMBER(INDIRECT("'"&amp;K$6&amp;"'!"&amp;K$4&amp;ROW()-33)))),"-",INDIRECT("'"&amp;K$6&amp;"'!"&amp;K$4&amp;ROW()-33))</f>
        <v>-</v>
      </c>
      <c r="L76" s="120" t="str">
        <f ca="1" t="array" ref="L76">IF(OR(TRIM(INDIRECT("'"&amp;L$6&amp;"'!"&amp;L$4&amp;ROW()-33))="0",INDIRECT("'"&amp;L$6&amp;"'!"&amp;L$4&amp;ROW()-33)="",NOT(ISNUMBER(INDIRECT("'"&amp;L$6&amp;"'!"&amp;L$4&amp;ROW()-33)))),"-",INDIRECT("'"&amp;L$6&amp;"'!"&amp;L$4&amp;ROW()-33))</f>
        <v>-</v>
      </c>
      <c r="M76" s="120" t="str">
        <f ca="1" t="array" ref="M76">IF(OR(TRIM(INDIRECT("'"&amp;M$6&amp;"'!"&amp;M$4&amp;ROW()-33))="0",INDIRECT("'"&amp;M$6&amp;"'!"&amp;M$4&amp;ROW()-33)="",NOT(ISNUMBER(INDIRECT("'"&amp;M$6&amp;"'!"&amp;M$4&amp;ROW()-33)))),"-",INDIRECT("'"&amp;M$6&amp;"'!"&amp;M$4&amp;ROW()-33))</f>
        <v>-</v>
      </c>
      <c r="N76" s="31">
        <f ca="1" t="shared" si="21"/>
        <v>0</v>
      </c>
      <c r="O76" s="31">
        <f ca="1" t="shared" si="22"/>
        <v>0</v>
      </c>
    </row>
    <row r="77" s="28" customFormat="1" ht="15" customHeight="1" spans="1:15">
      <c r="A77" s="13" t="str">
        <f>'Section-Category'!A31</f>
        <v>Maintenance</v>
      </c>
      <c r="B77" s="120" t="str">
        <f ca="1" t="array" ref="B77">IF(OR(TRIM(INDIRECT("'"&amp;B$6&amp;"'!"&amp;B$4&amp;ROW()-33))="0",INDIRECT("'"&amp;B$6&amp;"'!"&amp;B$4&amp;ROW()-33)="",NOT(ISNUMBER(INDIRECT("'"&amp;B$6&amp;"'!"&amp;B$4&amp;ROW()-33)))),"-",INDIRECT("'"&amp;B$6&amp;"'!"&amp;B$4&amp;ROW()-33))</f>
        <v>-</v>
      </c>
      <c r="C77" s="120" t="str">
        <f ca="1" t="array" ref="C77">IF(OR(TRIM(INDIRECT("'"&amp;C$6&amp;"'!"&amp;C$4&amp;ROW()-33))="0",INDIRECT("'"&amp;C$6&amp;"'!"&amp;C$4&amp;ROW()-33)="",NOT(ISNUMBER(INDIRECT("'"&amp;C$6&amp;"'!"&amp;C$4&amp;ROW()-33)))),"-",INDIRECT("'"&amp;C$6&amp;"'!"&amp;C$4&amp;ROW()-33))</f>
        <v>-</v>
      </c>
      <c r="D77" s="120" t="str">
        <f ca="1" t="array" ref="D77">IF(OR(TRIM(INDIRECT("'"&amp;D$6&amp;"'!"&amp;D$4&amp;ROW()-33))="0",INDIRECT("'"&amp;D$6&amp;"'!"&amp;D$4&amp;ROW()-33)="",NOT(ISNUMBER(INDIRECT("'"&amp;D$6&amp;"'!"&amp;D$4&amp;ROW()-33)))),"-",INDIRECT("'"&amp;D$6&amp;"'!"&amp;D$4&amp;ROW()-33))</f>
        <v>-</v>
      </c>
      <c r="E77" s="120" t="str">
        <f ca="1" t="array" ref="E77">IF(OR(TRIM(INDIRECT("'"&amp;E$6&amp;"'!"&amp;E$4&amp;ROW()-33))="0",INDIRECT("'"&amp;E$6&amp;"'!"&amp;E$4&amp;ROW()-33)="",NOT(ISNUMBER(INDIRECT("'"&amp;E$6&amp;"'!"&amp;E$4&amp;ROW()-33)))),"-",INDIRECT("'"&amp;E$6&amp;"'!"&amp;E$4&amp;ROW()-33))</f>
        <v>-</v>
      </c>
      <c r="F77" s="120" t="str">
        <f ca="1" t="array" ref="F77">IF(OR(TRIM(INDIRECT("'"&amp;F$6&amp;"'!"&amp;F$4&amp;ROW()-33))="0",INDIRECT("'"&amp;F$6&amp;"'!"&amp;F$4&amp;ROW()-33)="",NOT(ISNUMBER(INDIRECT("'"&amp;F$6&amp;"'!"&amp;F$4&amp;ROW()-33)))),"-",INDIRECT("'"&amp;F$6&amp;"'!"&amp;F$4&amp;ROW()-33))</f>
        <v>-</v>
      </c>
      <c r="G77" s="120" t="str">
        <f ca="1" t="array" ref="G77">IF(OR(TRIM(INDIRECT("'"&amp;G$6&amp;"'!"&amp;G$4&amp;ROW()-33))="0",INDIRECT("'"&amp;G$6&amp;"'!"&amp;G$4&amp;ROW()-33)="",NOT(ISNUMBER(INDIRECT("'"&amp;G$6&amp;"'!"&amp;G$4&amp;ROW()-33)))),"-",INDIRECT("'"&amp;G$6&amp;"'!"&amp;G$4&amp;ROW()-33))</f>
        <v>-</v>
      </c>
      <c r="H77" s="120" t="str">
        <f ca="1" t="array" ref="H77">IF(OR(TRIM(INDIRECT("'"&amp;H$6&amp;"'!"&amp;H$4&amp;ROW()-33))="0",INDIRECT("'"&amp;H$6&amp;"'!"&amp;H$4&amp;ROW()-33)="",NOT(ISNUMBER(INDIRECT("'"&amp;H$6&amp;"'!"&amp;H$4&amp;ROW()-33)))),"-",INDIRECT("'"&amp;H$6&amp;"'!"&amp;H$4&amp;ROW()-33))</f>
        <v>-</v>
      </c>
      <c r="I77" s="120" t="str">
        <f ca="1" t="array" ref="I77">IF(OR(TRIM(INDIRECT("'"&amp;I$6&amp;"'!"&amp;I$4&amp;ROW()-33))="0",INDIRECT("'"&amp;I$6&amp;"'!"&amp;I$4&amp;ROW()-33)="",NOT(ISNUMBER(INDIRECT("'"&amp;I$6&amp;"'!"&amp;I$4&amp;ROW()-33)))),"-",INDIRECT("'"&amp;I$6&amp;"'!"&amp;I$4&amp;ROW()-33))</f>
        <v>-</v>
      </c>
      <c r="J77" s="120" t="str">
        <f ca="1" t="array" ref="J77">IF(OR(TRIM(INDIRECT("'"&amp;J$6&amp;"'!"&amp;J$4&amp;ROW()-33))="0",INDIRECT("'"&amp;J$6&amp;"'!"&amp;J$4&amp;ROW()-33)="",NOT(ISNUMBER(INDIRECT("'"&amp;J$6&amp;"'!"&amp;J$4&amp;ROW()-33)))),"-",INDIRECT("'"&amp;J$6&amp;"'!"&amp;J$4&amp;ROW()-33))</f>
        <v>-</v>
      </c>
      <c r="K77" s="120" t="str">
        <f ca="1" t="array" ref="K77">IF(OR(TRIM(INDIRECT("'"&amp;K$6&amp;"'!"&amp;K$4&amp;ROW()-33))="0",INDIRECT("'"&amp;K$6&amp;"'!"&amp;K$4&amp;ROW()-33)="",NOT(ISNUMBER(INDIRECT("'"&amp;K$6&amp;"'!"&amp;K$4&amp;ROW()-33)))),"-",INDIRECT("'"&amp;K$6&amp;"'!"&amp;K$4&amp;ROW()-33))</f>
        <v>-</v>
      </c>
      <c r="L77" s="120" t="str">
        <f ca="1" t="array" ref="L77">IF(OR(TRIM(INDIRECT("'"&amp;L$6&amp;"'!"&amp;L$4&amp;ROW()-33))="0",INDIRECT("'"&amp;L$6&amp;"'!"&amp;L$4&amp;ROW()-33)="",NOT(ISNUMBER(INDIRECT("'"&amp;L$6&amp;"'!"&amp;L$4&amp;ROW()-33)))),"-",INDIRECT("'"&amp;L$6&amp;"'!"&amp;L$4&amp;ROW()-33))</f>
        <v>-</v>
      </c>
      <c r="M77" s="120" t="str">
        <f ca="1" t="array" ref="M77">IF(OR(TRIM(INDIRECT("'"&amp;M$6&amp;"'!"&amp;M$4&amp;ROW()-33))="0",INDIRECT("'"&amp;M$6&amp;"'!"&amp;M$4&amp;ROW()-33)="",NOT(ISNUMBER(INDIRECT("'"&amp;M$6&amp;"'!"&amp;M$4&amp;ROW()-33)))),"-",INDIRECT("'"&amp;M$6&amp;"'!"&amp;M$4&amp;ROW()-33))</f>
        <v>-</v>
      </c>
      <c r="N77" s="31">
        <f ca="1" t="shared" si="21"/>
        <v>0</v>
      </c>
      <c r="O77" s="31">
        <f ca="1" t="shared" si="22"/>
        <v>0</v>
      </c>
    </row>
    <row r="78" s="28" customFormat="1" ht="15" customHeight="1" spans="1:15">
      <c r="A78" s="13" t="str">
        <f>'Section-Category'!A32</f>
        <v>Improvements</v>
      </c>
      <c r="B78" s="120" t="str">
        <f ca="1" t="array" ref="B78">IF(OR(TRIM(INDIRECT("'"&amp;B$6&amp;"'!"&amp;B$4&amp;ROW()-33))="0",INDIRECT("'"&amp;B$6&amp;"'!"&amp;B$4&amp;ROW()-33)="",NOT(ISNUMBER(INDIRECT("'"&amp;B$6&amp;"'!"&amp;B$4&amp;ROW()-33)))),"-",INDIRECT("'"&amp;B$6&amp;"'!"&amp;B$4&amp;ROW()-33))</f>
        <v>-</v>
      </c>
      <c r="C78" s="120" t="str">
        <f ca="1" t="array" ref="C78">IF(OR(TRIM(INDIRECT("'"&amp;C$6&amp;"'!"&amp;C$4&amp;ROW()-33))="0",INDIRECT("'"&amp;C$6&amp;"'!"&amp;C$4&amp;ROW()-33)="",NOT(ISNUMBER(INDIRECT("'"&amp;C$6&amp;"'!"&amp;C$4&amp;ROW()-33)))),"-",INDIRECT("'"&amp;C$6&amp;"'!"&amp;C$4&amp;ROW()-33))</f>
        <v>-</v>
      </c>
      <c r="D78" s="120" t="str">
        <f ca="1" t="array" ref="D78">IF(OR(TRIM(INDIRECT("'"&amp;D$6&amp;"'!"&amp;D$4&amp;ROW()-33))="0",INDIRECT("'"&amp;D$6&amp;"'!"&amp;D$4&amp;ROW()-33)="",NOT(ISNUMBER(INDIRECT("'"&amp;D$6&amp;"'!"&amp;D$4&amp;ROW()-33)))),"-",INDIRECT("'"&amp;D$6&amp;"'!"&amp;D$4&amp;ROW()-33))</f>
        <v>-</v>
      </c>
      <c r="E78" s="120" t="str">
        <f ca="1" t="array" ref="E78">IF(OR(TRIM(INDIRECT("'"&amp;E$6&amp;"'!"&amp;E$4&amp;ROW()-33))="0",INDIRECT("'"&amp;E$6&amp;"'!"&amp;E$4&amp;ROW()-33)="",NOT(ISNUMBER(INDIRECT("'"&amp;E$6&amp;"'!"&amp;E$4&amp;ROW()-33)))),"-",INDIRECT("'"&amp;E$6&amp;"'!"&amp;E$4&amp;ROW()-33))</f>
        <v>-</v>
      </c>
      <c r="F78" s="120" t="str">
        <f ca="1" t="array" ref="F78">IF(OR(TRIM(INDIRECT("'"&amp;F$6&amp;"'!"&amp;F$4&amp;ROW()-33))="0",INDIRECT("'"&amp;F$6&amp;"'!"&amp;F$4&amp;ROW()-33)="",NOT(ISNUMBER(INDIRECT("'"&amp;F$6&amp;"'!"&amp;F$4&amp;ROW()-33)))),"-",INDIRECT("'"&amp;F$6&amp;"'!"&amp;F$4&amp;ROW()-33))</f>
        <v>-</v>
      </c>
      <c r="G78" s="120" t="str">
        <f ca="1" t="array" ref="G78">IF(OR(TRIM(INDIRECT("'"&amp;G$6&amp;"'!"&amp;G$4&amp;ROW()-33))="0",INDIRECT("'"&amp;G$6&amp;"'!"&amp;G$4&amp;ROW()-33)="",NOT(ISNUMBER(INDIRECT("'"&amp;G$6&amp;"'!"&amp;G$4&amp;ROW()-33)))),"-",INDIRECT("'"&amp;G$6&amp;"'!"&amp;G$4&amp;ROW()-33))</f>
        <v>-</v>
      </c>
      <c r="H78" s="120" t="str">
        <f ca="1" t="array" ref="H78">IF(OR(TRIM(INDIRECT("'"&amp;H$6&amp;"'!"&amp;H$4&amp;ROW()-33))="0",INDIRECT("'"&amp;H$6&amp;"'!"&amp;H$4&amp;ROW()-33)="",NOT(ISNUMBER(INDIRECT("'"&amp;H$6&amp;"'!"&amp;H$4&amp;ROW()-33)))),"-",INDIRECT("'"&amp;H$6&amp;"'!"&amp;H$4&amp;ROW()-33))</f>
        <v>-</v>
      </c>
      <c r="I78" s="120" t="str">
        <f ca="1" t="array" ref="I78">IF(OR(TRIM(INDIRECT("'"&amp;I$6&amp;"'!"&amp;I$4&amp;ROW()-33))="0",INDIRECT("'"&amp;I$6&amp;"'!"&amp;I$4&amp;ROW()-33)="",NOT(ISNUMBER(INDIRECT("'"&amp;I$6&amp;"'!"&amp;I$4&amp;ROW()-33)))),"-",INDIRECT("'"&amp;I$6&amp;"'!"&amp;I$4&amp;ROW()-33))</f>
        <v>-</v>
      </c>
      <c r="J78" s="120" t="str">
        <f ca="1" t="array" ref="J78">IF(OR(TRIM(INDIRECT("'"&amp;J$6&amp;"'!"&amp;J$4&amp;ROW()-33))="0",INDIRECT("'"&amp;J$6&amp;"'!"&amp;J$4&amp;ROW()-33)="",NOT(ISNUMBER(INDIRECT("'"&amp;J$6&amp;"'!"&amp;J$4&amp;ROW()-33)))),"-",INDIRECT("'"&amp;J$6&amp;"'!"&amp;J$4&amp;ROW()-33))</f>
        <v>-</v>
      </c>
      <c r="K78" s="120" t="str">
        <f ca="1" t="array" ref="K78">IF(OR(TRIM(INDIRECT("'"&amp;K$6&amp;"'!"&amp;K$4&amp;ROW()-33))="0",INDIRECT("'"&amp;K$6&amp;"'!"&amp;K$4&amp;ROW()-33)="",NOT(ISNUMBER(INDIRECT("'"&amp;K$6&amp;"'!"&amp;K$4&amp;ROW()-33)))),"-",INDIRECT("'"&amp;K$6&amp;"'!"&amp;K$4&amp;ROW()-33))</f>
        <v>-</v>
      </c>
      <c r="L78" s="120" t="str">
        <f ca="1" t="array" ref="L78">IF(OR(TRIM(INDIRECT("'"&amp;L$6&amp;"'!"&amp;L$4&amp;ROW()-33))="0",INDIRECT("'"&amp;L$6&amp;"'!"&amp;L$4&amp;ROW()-33)="",NOT(ISNUMBER(INDIRECT("'"&amp;L$6&amp;"'!"&amp;L$4&amp;ROW()-33)))),"-",INDIRECT("'"&amp;L$6&amp;"'!"&amp;L$4&amp;ROW()-33))</f>
        <v>-</v>
      </c>
      <c r="M78" s="120" t="str">
        <f ca="1" t="array" ref="M78">IF(OR(TRIM(INDIRECT("'"&amp;M$6&amp;"'!"&amp;M$4&amp;ROW()-33))="0",INDIRECT("'"&amp;M$6&amp;"'!"&amp;M$4&amp;ROW()-33)="",NOT(ISNUMBER(INDIRECT("'"&amp;M$6&amp;"'!"&amp;M$4&amp;ROW()-33)))),"-",INDIRECT("'"&amp;M$6&amp;"'!"&amp;M$4&amp;ROW()-33))</f>
        <v>-</v>
      </c>
      <c r="N78" s="31">
        <f ca="1" t="shared" si="21"/>
        <v>0</v>
      </c>
      <c r="O78" s="31">
        <f ca="1" t="shared" si="22"/>
        <v>0</v>
      </c>
    </row>
    <row r="79" s="28" customFormat="1" ht="15.75" customHeight="1" spans="1:15">
      <c r="A79" s="13" t="str">
        <f>'Section-Category'!A33</f>
        <v>Other</v>
      </c>
      <c r="B79" s="120" t="str">
        <f ca="1" t="array" ref="B79">IF(OR(TRIM(INDIRECT("'"&amp;B$6&amp;"'!"&amp;B$4&amp;ROW()-33))="0",INDIRECT("'"&amp;B$6&amp;"'!"&amp;B$4&amp;ROW()-33)="",NOT(ISNUMBER(INDIRECT("'"&amp;B$6&amp;"'!"&amp;B$4&amp;ROW()-33)))),"-",INDIRECT("'"&amp;B$6&amp;"'!"&amp;B$4&amp;ROW()-33))</f>
        <v>-</v>
      </c>
      <c r="C79" s="120" t="str">
        <f ca="1" t="array" ref="C79">IF(OR(TRIM(INDIRECT("'"&amp;C$6&amp;"'!"&amp;C$4&amp;ROW()-33))="0",INDIRECT("'"&amp;C$6&amp;"'!"&amp;C$4&amp;ROW()-33)="",NOT(ISNUMBER(INDIRECT("'"&amp;C$6&amp;"'!"&amp;C$4&amp;ROW()-33)))),"-",INDIRECT("'"&amp;C$6&amp;"'!"&amp;C$4&amp;ROW()-33))</f>
        <v>-</v>
      </c>
      <c r="D79" s="120" t="str">
        <f ca="1" t="array" ref="D79">IF(OR(TRIM(INDIRECT("'"&amp;D$6&amp;"'!"&amp;D$4&amp;ROW()-33))="0",INDIRECT("'"&amp;D$6&amp;"'!"&amp;D$4&amp;ROW()-33)="",NOT(ISNUMBER(INDIRECT("'"&amp;D$6&amp;"'!"&amp;D$4&amp;ROW()-33)))),"-",INDIRECT("'"&amp;D$6&amp;"'!"&amp;D$4&amp;ROW()-33))</f>
        <v>-</v>
      </c>
      <c r="E79" s="120" t="str">
        <f ca="1" t="array" ref="E79">IF(OR(TRIM(INDIRECT("'"&amp;E$6&amp;"'!"&amp;E$4&amp;ROW()-33))="0",INDIRECT("'"&amp;E$6&amp;"'!"&amp;E$4&amp;ROW()-33)="",NOT(ISNUMBER(INDIRECT("'"&amp;E$6&amp;"'!"&amp;E$4&amp;ROW()-33)))),"-",INDIRECT("'"&amp;E$6&amp;"'!"&amp;E$4&amp;ROW()-33))</f>
        <v>-</v>
      </c>
      <c r="F79" s="120" t="str">
        <f ca="1" t="array" ref="F79">IF(OR(TRIM(INDIRECT("'"&amp;F$6&amp;"'!"&amp;F$4&amp;ROW()-33))="0",INDIRECT("'"&amp;F$6&amp;"'!"&amp;F$4&amp;ROW()-33)="",NOT(ISNUMBER(INDIRECT("'"&amp;F$6&amp;"'!"&amp;F$4&amp;ROW()-33)))),"-",INDIRECT("'"&amp;F$6&amp;"'!"&amp;F$4&amp;ROW()-33))</f>
        <v>-</v>
      </c>
      <c r="G79" s="120" t="str">
        <f ca="1" t="array" ref="G79">IF(OR(TRIM(INDIRECT("'"&amp;G$6&amp;"'!"&amp;G$4&amp;ROW()-33))="0",INDIRECT("'"&amp;G$6&amp;"'!"&amp;G$4&amp;ROW()-33)="",NOT(ISNUMBER(INDIRECT("'"&amp;G$6&amp;"'!"&amp;G$4&amp;ROW()-33)))),"-",INDIRECT("'"&amp;G$6&amp;"'!"&amp;G$4&amp;ROW()-33))</f>
        <v>-</v>
      </c>
      <c r="H79" s="120" t="str">
        <f ca="1" t="array" ref="H79">IF(OR(TRIM(INDIRECT("'"&amp;H$6&amp;"'!"&amp;H$4&amp;ROW()-33))="0",INDIRECT("'"&amp;H$6&amp;"'!"&amp;H$4&amp;ROW()-33)="",NOT(ISNUMBER(INDIRECT("'"&amp;H$6&amp;"'!"&amp;H$4&amp;ROW()-33)))),"-",INDIRECT("'"&amp;H$6&amp;"'!"&amp;H$4&amp;ROW()-33))</f>
        <v>-</v>
      </c>
      <c r="I79" s="120" t="str">
        <f ca="1" t="array" ref="I79">IF(OR(TRIM(INDIRECT("'"&amp;I$6&amp;"'!"&amp;I$4&amp;ROW()-33))="0",INDIRECT("'"&amp;I$6&amp;"'!"&amp;I$4&amp;ROW()-33)="",NOT(ISNUMBER(INDIRECT("'"&amp;I$6&amp;"'!"&amp;I$4&amp;ROW()-33)))),"-",INDIRECT("'"&amp;I$6&amp;"'!"&amp;I$4&amp;ROW()-33))</f>
        <v>-</v>
      </c>
      <c r="J79" s="120" t="str">
        <f ca="1" t="array" ref="J79">IF(OR(TRIM(INDIRECT("'"&amp;J$6&amp;"'!"&amp;J$4&amp;ROW()-33))="0",INDIRECT("'"&amp;J$6&amp;"'!"&amp;J$4&amp;ROW()-33)="",NOT(ISNUMBER(INDIRECT("'"&amp;J$6&amp;"'!"&amp;J$4&amp;ROW()-33)))),"-",INDIRECT("'"&amp;J$6&amp;"'!"&amp;J$4&amp;ROW()-33))</f>
        <v>-</v>
      </c>
      <c r="K79" s="120" t="str">
        <f ca="1" t="array" ref="K79">IF(OR(TRIM(INDIRECT("'"&amp;K$6&amp;"'!"&amp;K$4&amp;ROW()-33))="0",INDIRECT("'"&amp;K$6&amp;"'!"&amp;K$4&amp;ROW()-33)="",NOT(ISNUMBER(INDIRECT("'"&amp;K$6&amp;"'!"&amp;K$4&amp;ROW()-33)))),"-",INDIRECT("'"&amp;K$6&amp;"'!"&amp;K$4&amp;ROW()-33))</f>
        <v>-</v>
      </c>
      <c r="L79" s="120" t="str">
        <f ca="1" t="array" ref="L79">IF(OR(TRIM(INDIRECT("'"&amp;L$6&amp;"'!"&amp;L$4&amp;ROW()-33))="0",INDIRECT("'"&amp;L$6&amp;"'!"&amp;L$4&amp;ROW()-33)="",NOT(ISNUMBER(INDIRECT("'"&amp;L$6&amp;"'!"&amp;L$4&amp;ROW()-33)))),"-",INDIRECT("'"&amp;L$6&amp;"'!"&amp;L$4&amp;ROW()-33))</f>
        <v>-</v>
      </c>
      <c r="M79" s="120" t="str">
        <f ca="1" t="array" ref="M79">IF(OR(TRIM(INDIRECT("'"&amp;M$6&amp;"'!"&amp;M$4&amp;ROW()-33))="0",INDIRECT("'"&amp;M$6&amp;"'!"&amp;M$4&amp;ROW()-33)="",NOT(ISNUMBER(INDIRECT("'"&amp;M$6&amp;"'!"&amp;M$4&amp;ROW()-33)))),"-",INDIRECT("'"&amp;M$6&amp;"'!"&amp;M$4&amp;ROW()-33))</f>
        <v>-</v>
      </c>
      <c r="N79" s="31">
        <f ca="1" t="shared" si="21"/>
        <v>0</v>
      </c>
      <c r="O79" s="31">
        <f ca="1" t="shared" si="22"/>
        <v>0</v>
      </c>
    </row>
    <row r="80" s="66" customFormat="1" ht="15" customHeight="1" spans="1:15">
      <c r="A80" s="10" t="str">
        <f>'Section-Category'!A34</f>
        <v>Total HOME EXPENSES</v>
      </c>
      <c r="B80" s="123">
        <f ca="1" t="shared" ref="B80:O80" si="23">SUM(B67:B79)</f>
        <v>0</v>
      </c>
      <c r="C80" s="123">
        <f ca="1" t="shared" si="23"/>
        <v>0</v>
      </c>
      <c r="D80" s="123">
        <f ca="1" t="shared" si="23"/>
        <v>0</v>
      </c>
      <c r="E80" s="123">
        <f ca="1" t="shared" si="23"/>
        <v>0</v>
      </c>
      <c r="F80" s="123">
        <f ca="1" t="shared" si="23"/>
        <v>0</v>
      </c>
      <c r="G80" s="123">
        <f ca="1" t="shared" si="23"/>
        <v>0</v>
      </c>
      <c r="H80" s="123">
        <f ca="1" t="shared" si="23"/>
        <v>0</v>
      </c>
      <c r="I80" s="123">
        <f ca="1" t="shared" si="23"/>
        <v>0</v>
      </c>
      <c r="J80" s="123">
        <f ca="1" t="shared" si="23"/>
        <v>0</v>
      </c>
      <c r="K80" s="123">
        <f ca="1" t="shared" si="23"/>
        <v>0</v>
      </c>
      <c r="L80" s="123">
        <f ca="1" t="shared" si="23"/>
        <v>0</v>
      </c>
      <c r="M80" s="123">
        <f ca="1" t="shared" si="23"/>
        <v>0</v>
      </c>
      <c r="N80" s="39">
        <f ca="1" t="shared" si="23"/>
        <v>0</v>
      </c>
      <c r="O80" s="39">
        <f ca="1" t="shared" si="23"/>
        <v>0</v>
      </c>
    </row>
    <row r="81" s="66" customFormat="1" ht="13.5" customHeight="1" spans="1:15">
      <c r="A81" s="11" t="str">
        <f>'Section-Category'!A35</f>
        <v>% of Total Expenses</v>
      </c>
      <c r="B81" s="124" t="str">
        <f ca="1" t="shared" ref="B81:O81" si="24">IF(B$17=0," - ",B80/B$17)</f>
        <v> - </v>
      </c>
      <c r="C81" s="124" t="str">
        <f ca="1" t="shared" si="24"/>
        <v> - </v>
      </c>
      <c r="D81" s="124" t="str">
        <f ca="1" t="shared" si="24"/>
        <v> - </v>
      </c>
      <c r="E81" s="124" t="str">
        <f ca="1" t="shared" si="24"/>
        <v> - </v>
      </c>
      <c r="F81" s="124" t="str">
        <f ca="1" t="shared" si="24"/>
        <v> - </v>
      </c>
      <c r="G81" s="124" t="str">
        <f ca="1" t="shared" si="24"/>
        <v> - </v>
      </c>
      <c r="H81" s="124" t="str">
        <f ca="1" t="shared" si="24"/>
        <v> - </v>
      </c>
      <c r="I81" s="124" t="str">
        <f ca="1" t="shared" si="24"/>
        <v> - </v>
      </c>
      <c r="J81" s="124" t="str">
        <f ca="1" t="shared" si="24"/>
        <v> - </v>
      </c>
      <c r="K81" s="124" t="str">
        <f ca="1" t="shared" si="24"/>
        <v> - </v>
      </c>
      <c r="L81" s="124" t="str">
        <f ca="1" t="shared" si="24"/>
        <v> - </v>
      </c>
      <c r="M81" s="124" t="str">
        <f ca="1" t="shared" si="24"/>
        <v> - </v>
      </c>
      <c r="N81" s="125" t="str">
        <f ca="1" t="shared" si="24"/>
        <v> - </v>
      </c>
      <c r="O81" s="125" t="str">
        <f ca="1" t="shared" si="24"/>
        <v> - </v>
      </c>
    </row>
    <row r="82" s="28" customFormat="1" ht="13.5" customHeight="1" spans="1:15">
      <c r="A82" s="7"/>
    </row>
    <row r="83" s="62" customFormat="1" spans="1:15">
      <c r="A83" s="12" t="str">
        <f>'Section-Category'!A37</f>
        <v>DAILY LIVING</v>
      </c>
      <c r="B83" s="40" t="str">
        <f t="shared" ref="B83:M83" si="25">B$6</f>
        <v>Jan</v>
      </c>
      <c r="C83" s="40" t="str">
        <f t="shared" si="25"/>
        <v>Feb</v>
      </c>
      <c r="D83" s="40" t="str">
        <f t="shared" si="25"/>
        <v>Mar</v>
      </c>
      <c r="E83" s="40" t="str">
        <f t="shared" si="25"/>
        <v>Apr</v>
      </c>
      <c r="F83" s="40" t="str">
        <f t="shared" si="25"/>
        <v>May</v>
      </c>
      <c r="G83" s="40" t="str">
        <f t="shared" si="25"/>
        <v>Jun</v>
      </c>
      <c r="H83" s="40" t="str">
        <f t="shared" si="25"/>
        <v>Jul</v>
      </c>
      <c r="I83" s="40" t="str">
        <f t="shared" si="25"/>
        <v>Aug</v>
      </c>
      <c r="J83" s="40" t="str">
        <f t="shared" si="25"/>
        <v>Sep</v>
      </c>
      <c r="K83" s="40" t="str">
        <f t="shared" si="25"/>
        <v>Oct</v>
      </c>
      <c r="L83" s="40" t="str">
        <f t="shared" si="25"/>
        <v>Nov</v>
      </c>
      <c r="M83" s="40" t="str">
        <f t="shared" si="25"/>
        <v>Dec</v>
      </c>
      <c r="N83" s="40" t="s">
        <v>34</v>
      </c>
      <c r="O83" s="40" t="s">
        <v>35</v>
      </c>
    </row>
    <row r="84" s="28" customFormat="1" spans="1:15">
      <c r="A84" s="13" t="str">
        <f>'Section-Category'!A38</f>
        <v>Groceries</v>
      </c>
      <c r="B84" s="126" t="str">
        <f ca="1" t="array" ref="B84">IF(OR(TRIM(INDIRECT("'"&amp;B$6&amp;"'!"&amp;B$4&amp;ROW()-34))="0",INDIRECT("'"&amp;B$6&amp;"'!"&amp;B$4&amp;ROW()-34)="",NOT(ISNUMBER(INDIRECT("'"&amp;B$6&amp;"'!"&amp;B$4&amp;ROW()-34)))),"-",INDIRECT("'"&amp;B$6&amp;"'!"&amp;B$4&amp;ROW()-34))</f>
        <v>-</v>
      </c>
      <c r="C84" s="126" t="str">
        <f ca="1" t="array" ref="C84">IF(OR(TRIM(INDIRECT("'"&amp;C$6&amp;"'!"&amp;C$4&amp;ROW()-34))="0",INDIRECT("'"&amp;C$6&amp;"'!"&amp;C$4&amp;ROW()-34)="",NOT(ISNUMBER(INDIRECT("'"&amp;C$6&amp;"'!"&amp;C$4&amp;ROW()-34)))),"-",INDIRECT("'"&amp;C$6&amp;"'!"&amp;C$4&amp;ROW()-34))</f>
        <v>-</v>
      </c>
      <c r="D84" s="126" t="str">
        <f ca="1" t="array" ref="D84">IF(OR(TRIM(INDIRECT("'"&amp;D$6&amp;"'!"&amp;D$4&amp;ROW()-34))="0",INDIRECT("'"&amp;D$6&amp;"'!"&amp;D$4&amp;ROW()-34)="",NOT(ISNUMBER(INDIRECT("'"&amp;D$6&amp;"'!"&amp;D$4&amp;ROW()-34)))),"-",INDIRECT("'"&amp;D$6&amp;"'!"&amp;D$4&amp;ROW()-34))</f>
        <v>-</v>
      </c>
      <c r="E84" s="126" t="str">
        <f ca="1" t="array" ref="E84">IF(OR(TRIM(INDIRECT("'"&amp;E$6&amp;"'!"&amp;E$4&amp;ROW()-34))="0",INDIRECT("'"&amp;E$6&amp;"'!"&amp;E$4&amp;ROW()-34)="",NOT(ISNUMBER(INDIRECT("'"&amp;E$6&amp;"'!"&amp;E$4&amp;ROW()-34)))),"-",INDIRECT("'"&amp;E$6&amp;"'!"&amp;E$4&amp;ROW()-34))</f>
        <v>-</v>
      </c>
      <c r="F84" s="126" t="str">
        <f ca="1" t="array" ref="F84">IF(OR(TRIM(INDIRECT("'"&amp;F$6&amp;"'!"&amp;F$4&amp;ROW()-34))="0",INDIRECT("'"&amp;F$6&amp;"'!"&amp;F$4&amp;ROW()-34)="",NOT(ISNUMBER(INDIRECT("'"&amp;F$6&amp;"'!"&amp;F$4&amp;ROW()-34)))),"-",INDIRECT("'"&amp;F$6&amp;"'!"&amp;F$4&amp;ROW()-34))</f>
        <v>-</v>
      </c>
      <c r="G84" s="126" t="str">
        <f ca="1" t="array" ref="G84">IF(OR(TRIM(INDIRECT("'"&amp;G$6&amp;"'!"&amp;G$4&amp;ROW()-34))="0",INDIRECT("'"&amp;G$6&amp;"'!"&amp;G$4&amp;ROW()-34)="",NOT(ISNUMBER(INDIRECT("'"&amp;G$6&amp;"'!"&amp;G$4&amp;ROW()-34)))),"-",INDIRECT("'"&amp;G$6&amp;"'!"&amp;G$4&amp;ROW()-34))</f>
        <v>-</v>
      </c>
      <c r="H84" s="126" t="str">
        <f ca="1" t="array" ref="H84">IF(OR(TRIM(INDIRECT("'"&amp;H$6&amp;"'!"&amp;H$4&amp;ROW()-34))="0",INDIRECT("'"&amp;H$6&amp;"'!"&amp;H$4&amp;ROW()-34)="",NOT(ISNUMBER(INDIRECT("'"&amp;H$6&amp;"'!"&amp;H$4&amp;ROW()-34)))),"-",INDIRECT("'"&amp;H$6&amp;"'!"&amp;H$4&amp;ROW()-34))</f>
        <v>-</v>
      </c>
      <c r="I84" s="126" t="str">
        <f ca="1" t="array" ref="I84">IF(OR(TRIM(INDIRECT("'"&amp;I$6&amp;"'!"&amp;I$4&amp;ROW()-34))="0",INDIRECT("'"&amp;I$6&amp;"'!"&amp;I$4&amp;ROW()-34)="",NOT(ISNUMBER(INDIRECT("'"&amp;I$6&amp;"'!"&amp;I$4&amp;ROW()-34)))),"-",INDIRECT("'"&amp;I$6&amp;"'!"&amp;I$4&amp;ROW()-34))</f>
        <v>-</v>
      </c>
      <c r="J84" s="126" t="str">
        <f ca="1" t="array" ref="J84">IF(OR(TRIM(INDIRECT("'"&amp;J$6&amp;"'!"&amp;J$4&amp;ROW()-34))="0",INDIRECT("'"&amp;J$6&amp;"'!"&amp;J$4&amp;ROW()-34)="",NOT(ISNUMBER(INDIRECT("'"&amp;J$6&amp;"'!"&amp;J$4&amp;ROW()-34)))),"-",INDIRECT("'"&amp;J$6&amp;"'!"&amp;J$4&amp;ROW()-34))</f>
        <v>-</v>
      </c>
      <c r="K84" s="126" t="str">
        <f ca="1" t="array" ref="K84">IF(OR(TRIM(INDIRECT("'"&amp;K$6&amp;"'!"&amp;K$4&amp;ROW()-34))="0",INDIRECT("'"&amp;K$6&amp;"'!"&amp;K$4&amp;ROW()-34)="",NOT(ISNUMBER(INDIRECT("'"&amp;K$6&amp;"'!"&amp;K$4&amp;ROW()-34)))),"-",INDIRECT("'"&amp;K$6&amp;"'!"&amp;K$4&amp;ROW()-34))</f>
        <v>-</v>
      </c>
      <c r="L84" s="126" t="str">
        <f ca="1" t="array" ref="L84">IF(OR(TRIM(INDIRECT("'"&amp;L$6&amp;"'!"&amp;L$4&amp;ROW()-34))="0",INDIRECT("'"&amp;L$6&amp;"'!"&amp;L$4&amp;ROW()-34)="",NOT(ISNUMBER(INDIRECT("'"&amp;L$6&amp;"'!"&amp;L$4&amp;ROW()-34)))),"-",INDIRECT("'"&amp;L$6&amp;"'!"&amp;L$4&amp;ROW()-34))</f>
        <v>-</v>
      </c>
      <c r="M84" s="126" t="str">
        <f ca="1" t="array" ref="M84">IF(OR(TRIM(INDIRECT("'"&amp;M$6&amp;"'!"&amp;M$4&amp;ROW()-34))="0",INDIRECT("'"&amp;M$6&amp;"'!"&amp;M$4&amp;ROW()-34)="",NOT(ISNUMBER(INDIRECT("'"&amp;M$6&amp;"'!"&amp;M$4&amp;ROW()-34)))),"-",INDIRECT("'"&amp;M$6&amp;"'!"&amp;M$4&amp;ROW()-34))</f>
        <v>-</v>
      </c>
      <c r="N84" s="31">
        <f ca="1" t="shared" ref="N84:N93" si="26">SUM(B84:M84)</f>
        <v>0</v>
      </c>
      <c r="O84" s="31">
        <f ca="1" t="shared" ref="O84:O93" si="27">N84/COLUMNS(B84:M84)</f>
        <v>0</v>
      </c>
    </row>
    <row r="85" s="28" customFormat="1" spans="1:15">
      <c r="A85" s="13" t="str">
        <f>'Section-Category'!A39</f>
        <v>Personal Supplies</v>
      </c>
      <c r="B85" s="126" t="str">
        <f ca="1" t="array" ref="B85">IF(OR(TRIM(INDIRECT("'"&amp;B$6&amp;"'!"&amp;B$4&amp;ROW()-34))="0",INDIRECT("'"&amp;B$6&amp;"'!"&amp;B$4&amp;ROW()-34)="",NOT(ISNUMBER(INDIRECT("'"&amp;B$6&amp;"'!"&amp;B$4&amp;ROW()-34)))),"-",INDIRECT("'"&amp;B$6&amp;"'!"&amp;B$4&amp;ROW()-34))</f>
        <v>-</v>
      </c>
      <c r="C85" s="126" t="str">
        <f ca="1" t="array" ref="C85">IF(OR(TRIM(INDIRECT("'"&amp;C$6&amp;"'!"&amp;C$4&amp;ROW()-34))="0",INDIRECT("'"&amp;C$6&amp;"'!"&amp;C$4&amp;ROW()-34)="",NOT(ISNUMBER(INDIRECT("'"&amp;C$6&amp;"'!"&amp;C$4&amp;ROW()-34)))),"-",INDIRECT("'"&amp;C$6&amp;"'!"&amp;C$4&amp;ROW()-34))</f>
        <v>-</v>
      </c>
      <c r="D85" s="126" t="str">
        <f ca="1" t="array" ref="D85">IF(OR(TRIM(INDIRECT("'"&amp;D$6&amp;"'!"&amp;D$4&amp;ROW()-34))="0",INDIRECT("'"&amp;D$6&amp;"'!"&amp;D$4&amp;ROW()-34)="",NOT(ISNUMBER(INDIRECT("'"&amp;D$6&amp;"'!"&amp;D$4&amp;ROW()-34)))),"-",INDIRECT("'"&amp;D$6&amp;"'!"&amp;D$4&amp;ROW()-34))</f>
        <v>-</v>
      </c>
      <c r="E85" s="126" t="str">
        <f ca="1" t="array" ref="E85">IF(OR(TRIM(INDIRECT("'"&amp;E$6&amp;"'!"&amp;E$4&amp;ROW()-34))="0",INDIRECT("'"&amp;E$6&amp;"'!"&amp;E$4&amp;ROW()-34)="",NOT(ISNUMBER(INDIRECT("'"&amp;E$6&amp;"'!"&amp;E$4&amp;ROW()-34)))),"-",INDIRECT("'"&amp;E$6&amp;"'!"&amp;E$4&amp;ROW()-34))</f>
        <v>-</v>
      </c>
      <c r="F85" s="126" t="str">
        <f ca="1" t="array" ref="F85">IF(OR(TRIM(INDIRECT("'"&amp;F$6&amp;"'!"&amp;F$4&amp;ROW()-34))="0",INDIRECT("'"&amp;F$6&amp;"'!"&amp;F$4&amp;ROW()-34)="",NOT(ISNUMBER(INDIRECT("'"&amp;F$6&amp;"'!"&amp;F$4&amp;ROW()-34)))),"-",INDIRECT("'"&amp;F$6&amp;"'!"&amp;F$4&amp;ROW()-34))</f>
        <v>-</v>
      </c>
      <c r="G85" s="126" t="str">
        <f ca="1" t="array" ref="G85">IF(OR(TRIM(INDIRECT("'"&amp;G$6&amp;"'!"&amp;G$4&amp;ROW()-34))="0",INDIRECT("'"&amp;G$6&amp;"'!"&amp;G$4&amp;ROW()-34)="",NOT(ISNUMBER(INDIRECT("'"&amp;G$6&amp;"'!"&amp;G$4&amp;ROW()-34)))),"-",INDIRECT("'"&amp;G$6&amp;"'!"&amp;G$4&amp;ROW()-34))</f>
        <v>-</v>
      </c>
      <c r="H85" s="126" t="str">
        <f ca="1" t="array" ref="H85">IF(OR(TRIM(INDIRECT("'"&amp;H$6&amp;"'!"&amp;H$4&amp;ROW()-34))="0",INDIRECT("'"&amp;H$6&amp;"'!"&amp;H$4&amp;ROW()-34)="",NOT(ISNUMBER(INDIRECT("'"&amp;H$6&amp;"'!"&amp;H$4&amp;ROW()-34)))),"-",INDIRECT("'"&amp;H$6&amp;"'!"&amp;H$4&amp;ROW()-34))</f>
        <v>-</v>
      </c>
      <c r="I85" s="126" t="str">
        <f ca="1" t="array" ref="I85">IF(OR(TRIM(INDIRECT("'"&amp;I$6&amp;"'!"&amp;I$4&amp;ROW()-34))="0",INDIRECT("'"&amp;I$6&amp;"'!"&amp;I$4&amp;ROW()-34)="",NOT(ISNUMBER(INDIRECT("'"&amp;I$6&amp;"'!"&amp;I$4&amp;ROW()-34)))),"-",INDIRECT("'"&amp;I$6&amp;"'!"&amp;I$4&amp;ROW()-34))</f>
        <v>-</v>
      </c>
      <c r="J85" s="126" t="str">
        <f ca="1" t="array" ref="J85">IF(OR(TRIM(INDIRECT("'"&amp;J$6&amp;"'!"&amp;J$4&amp;ROW()-34))="0",INDIRECT("'"&amp;J$6&amp;"'!"&amp;J$4&amp;ROW()-34)="",NOT(ISNUMBER(INDIRECT("'"&amp;J$6&amp;"'!"&amp;J$4&amp;ROW()-34)))),"-",INDIRECT("'"&amp;J$6&amp;"'!"&amp;J$4&amp;ROW()-34))</f>
        <v>-</v>
      </c>
      <c r="K85" s="126" t="str">
        <f ca="1" t="array" ref="K85">IF(OR(TRIM(INDIRECT("'"&amp;K$6&amp;"'!"&amp;K$4&amp;ROW()-34))="0",INDIRECT("'"&amp;K$6&amp;"'!"&amp;K$4&amp;ROW()-34)="",NOT(ISNUMBER(INDIRECT("'"&amp;K$6&amp;"'!"&amp;K$4&amp;ROW()-34)))),"-",INDIRECT("'"&amp;K$6&amp;"'!"&amp;K$4&amp;ROW()-34))</f>
        <v>-</v>
      </c>
      <c r="L85" s="126" t="str">
        <f ca="1" t="array" ref="L85">IF(OR(TRIM(INDIRECT("'"&amp;L$6&amp;"'!"&amp;L$4&amp;ROW()-34))="0",INDIRECT("'"&amp;L$6&amp;"'!"&amp;L$4&amp;ROW()-34)="",NOT(ISNUMBER(INDIRECT("'"&amp;L$6&amp;"'!"&amp;L$4&amp;ROW()-34)))),"-",INDIRECT("'"&amp;L$6&amp;"'!"&amp;L$4&amp;ROW()-34))</f>
        <v>-</v>
      </c>
      <c r="M85" s="126" t="str">
        <f ca="1" t="array" ref="M85">IF(OR(TRIM(INDIRECT("'"&amp;M$6&amp;"'!"&amp;M$4&amp;ROW()-34))="0",INDIRECT("'"&amp;M$6&amp;"'!"&amp;M$4&amp;ROW()-34)="",NOT(ISNUMBER(INDIRECT("'"&amp;M$6&amp;"'!"&amp;M$4&amp;ROW()-34)))),"-",INDIRECT("'"&amp;M$6&amp;"'!"&amp;M$4&amp;ROW()-34))</f>
        <v>-</v>
      </c>
      <c r="N85" s="31">
        <f ca="1" t="shared" si="26"/>
        <v>0</v>
      </c>
      <c r="O85" s="31">
        <f ca="1" t="shared" si="27"/>
        <v>0</v>
      </c>
    </row>
    <row r="86" s="28" customFormat="1" spans="1:15">
      <c r="A86" s="13" t="str">
        <f>'Section-Category'!A40</f>
        <v>Clothing</v>
      </c>
      <c r="B86" s="126" t="str">
        <f ca="1" t="array" ref="B86">IF(OR(TRIM(INDIRECT("'"&amp;B$6&amp;"'!"&amp;B$4&amp;ROW()-34))="0",INDIRECT("'"&amp;B$6&amp;"'!"&amp;B$4&amp;ROW()-34)="",NOT(ISNUMBER(INDIRECT("'"&amp;B$6&amp;"'!"&amp;B$4&amp;ROW()-34)))),"-",INDIRECT("'"&amp;B$6&amp;"'!"&amp;B$4&amp;ROW()-34))</f>
        <v>-</v>
      </c>
      <c r="C86" s="126" t="str">
        <f ca="1" t="array" ref="C86">IF(OR(TRIM(INDIRECT("'"&amp;C$6&amp;"'!"&amp;C$4&amp;ROW()-34))="0",INDIRECT("'"&amp;C$6&amp;"'!"&amp;C$4&amp;ROW()-34)="",NOT(ISNUMBER(INDIRECT("'"&amp;C$6&amp;"'!"&amp;C$4&amp;ROW()-34)))),"-",INDIRECT("'"&amp;C$6&amp;"'!"&amp;C$4&amp;ROW()-34))</f>
        <v>-</v>
      </c>
      <c r="D86" s="126" t="str">
        <f ca="1" t="array" ref="D86">IF(OR(TRIM(INDIRECT("'"&amp;D$6&amp;"'!"&amp;D$4&amp;ROW()-34))="0",INDIRECT("'"&amp;D$6&amp;"'!"&amp;D$4&amp;ROW()-34)="",NOT(ISNUMBER(INDIRECT("'"&amp;D$6&amp;"'!"&amp;D$4&amp;ROW()-34)))),"-",INDIRECT("'"&amp;D$6&amp;"'!"&amp;D$4&amp;ROW()-34))</f>
        <v>-</v>
      </c>
      <c r="E86" s="126" t="str">
        <f ca="1" t="array" ref="E86">IF(OR(TRIM(INDIRECT("'"&amp;E$6&amp;"'!"&amp;E$4&amp;ROW()-34))="0",INDIRECT("'"&amp;E$6&amp;"'!"&amp;E$4&amp;ROW()-34)="",NOT(ISNUMBER(INDIRECT("'"&amp;E$6&amp;"'!"&amp;E$4&amp;ROW()-34)))),"-",INDIRECT("'"&amp;E$6&amp;"'!"&amp;E$4&amp;ROW()-34))</f>
        <v>-</v>
      </c>
      <c r="F86" s="126" t="str">
        <f ca="1" t="array" ref="F86">IF(OR(TRIM(INDIRECT("'"&amp;F$6&amp;"'!"&amp;F$4&amp;ROW()-34))="0",INDIRECT("'"&amp;F$6&amp;"'!"&amp;F$4&amp;ROW()-34)="",NOT(ISNUMBER(INDIRECT("'"&amp;F$6&amp;"'!"&amp;F$4&amp;ROW()-34)))),"-",INDIRECT("'"&amp;F$6&amp;"'!"&amp;F$4&amp;ROW()-34))</f>
        <v>-</v>
      </c>
      <c r="G86" s="126" t="str">
        <f ca="1" t="array" ref="G86">IF(OR(TRIM(INDIRECT("'"&amp;G$6&amp;"'!"&amp;G$4&amp;ROW()-34))="0",INDIRECT("'"&amp;G$6&amp;"'!"&amp;G$4&amp;ROW()-34)="",NOT(ISNUMBER(INDIRECT("'"&amp;G$6&amp;"'!"&amp;G$4&amp;ROW()-34)))),"-",INDIRECT("'"&amp;G$6&amp;"'!"&amp;G$4&amp;ROW()-34))</f>
        <v>-</v>
      </c>
      <c r="H86" s="126" t="str">
        <f ca="1" t="array" ref="H86">IF(OR(TRIM(INDIRECT("'"&amp;H$6&amp;"'!"&amp;H$4&amp;ROW()-34))="0",INDIRECT("'"&amp;H$6&amp;"'!"&amp;H$4&amp;ROW()-34)="",NOT(ISNUMBER(INDIRECT("'"&amp;H$6&amp;"'!"&amp;H$4&amp;ROW()-34)))),"-",INDIRECT("'"&amp;H$6&amp;"'!"&amp;H$4&amp;ROW()-34))</f>
        <v>-</v>
      </c>
      <c r="I86" s="126" t="str">
        <f ca="1" t="array" ref="I86">IF(OR(TRIM(INDIRECT("'"&amp;I$6&amp;"'!"&amp;I$4&amp;ROW()-34))="0",INDIRECT("'"&amp;I$6&amp;"'!"&amp;I$4&amp;ROW()-34)="",NOT(ISNUMBER(INDIRECT("'"&amp;I$6&amp;"'!"&amp;I$4&amp;ROW()-34)))),"-",INDIRECT("'"&amp;I$6&amp;"'!"&amp;I$4&amp;ROW()-34))</f>
        <v>-</v>
      </c>
      <c r="J86" s="126" t="str">
        <f ca="1" t="array" ref="J86">IF(OR(TRIM(INDIRECT("'"&amp;J$6&amp;"'!"&amp;J$4&amp;ROW()-34))="0",INDIRECT("'"&amp;J$6&amp;"'!"&amp;J$4&amp;ROW()-34)="",NOT(ISNUMBER(INDIRECT("'"&amp;J$6&amp;"'!"&amp;J$4&amp;ROW()-34)))),"-",INDIRECT("'"&amp;J$6&amp;"'!"&amp;J$4&amp;ROW()-34))</f>
        <v>-</v>
      </c>
      <c r="K86" s="126" t="str">
        <f ca="1" t="array" ref="K86">IF(OR(TRIM(INDIRECT("'"&amp;K$6&amp;"'!"&amp;K$4&amp;ROW()-34))="0",INDIRECT("'"&amp;K$6&amp;"'!"&amp;K$4&amp;ROW()-34)="",NOT(ISNUMBER(INDIRECT("'"&amp;K$6&amp;"'!"&amp;K$4&amp;ROW()-34)))),"-",INDIRECT("'"&amp;K$6&amp;"'!"&amp;K$4&amp;ROW()-34))</f>
        <v>-</v>
      </c>
      <c r="L86" s="126" t="str">
        <f ca="1" t="array" ref="L86">IF(OR(TRIM(INDIRECT("'"&amp;L$6&amp;"'!"&amp;L$4&amp;ROW()-34))="0",INDIRECT("'"&amp;L$6&amp;"'!"&amp;L$4&amp;ROW()-34)="",NOT(ISNUMBER(INDIRECT("'"&amp;L$6&amp;"'!"&amp;L$4&amp;ROW()-34)))),"-",INDIRECT("'"&amp;L$6&amp;"'!"&amp;L$4&amp;ROW()-34))</f>
        <v>-</v>
      </c>
      <c r="M86" s="126" t="str">
        <f ca="1" t="array" ref="M86">IF(OR(TRIM(INDIRECT("'"&amp;M$6&amp;"'!"&amp;M$4&amp;ROW()-34))="0",INDIRECT("'"&amp;M$6&amp;"'!"&amp;M$4&amp;ROW()-34)="",NOT(ISNUMBER(INDIRECT("'"&amp;M$6&amp;"'!"&amp;M$4&amp;ROW()-34)))),"-",INDIRECT("'"&amp;M$6&amp;"'!"&amp;M$4&amp;ROW()-34))</f>
        <v>-</v>
      </c>
      <c r="N86" s="31">
        <f ca="1" t="shared" si="26"/>
        <v>0</v>
      </c>
      <c r="O86" s="31">
        <f ca="1" t="shared" si="27"/>
        <v>0</v>
      </c>
    </row>
    <row r="87" s="28" customFormat="1" spans="1:15">
      <c r="A87" s="13" t="str">
        <f>'Section-Category'!A41</f>
        <v>Cleaning Services</v>
      </c>
      <c r="B87" s="126" t="str">
        <f ca="1" t="array" ref="B87">IF(OR(TRIM(INDIRECT("'"&amp;B$6&amp;"'!"&amp;B$4&amp;ROW()-34))="0",INDIRECT("'"&amp;B$6&amp;"'!"&amp;B$4&amp;ROW()-34)="",NOT(ISNUMBER(INDIRECT("'"&amp;B$6&amp;"'!"&amp;B$4&amp;ROW()-34)))),"-",INDIRECT("'"&amp;B$6&amp;"'!"&amp;B$4&amp;ROW()-34))</f>
        <v>-</v>
      </c>
      <c r="C87" s="126" t="str">
        <f ca="1" t="array" ref="C87">IF(OR(TRIM(INDIRECT("'"&amp;C$6&amp;"'!"&amp;C$4&amp;ROW()-34))="0",INDIRECT("'"&amp;C$6&amp;"'!"&amp;C$4&amp;ROW()-34)="",NOT(ISNUMBER(INDIRECT("'"&amp;C$6&amp;"'!"&amp;C$4&amp;ROW()-34)))),"-",INDIRECT("'"&amp;C$6&amp;"'!"&amp;C$4&amp;ROW()-34))</f>
        <v>-</v>
      </c>
      <c r="D87" s="126" t="str">
        <f ca="1" t="array" ref="D87">IF(OR(TRIM(INDIRECT("'"&amp;D$6&amp;"'!"&amp;D$4&amp;ROW()-34))="0",INDIRECT("'"&amp;D$6&amp;"'!"&amp;D$4&amp;ROW()-34)="",NOT(ISNUMBER(INDIRECT("'"&amp;D$6&amp;"'!"&amp;D$4&amp;ROW()-34)))),"-",INDIRECT("'"&amp;D$6&amp;"'!"&amp;D$4&amp;ROW()-34))</f>
        <v>-</v>
      </c>
      <c r="E87" s="126" t="str">
        <f ca="1" t="array" ref="E87">IF(OR(TRIM(INDIRECT("'"&amp;E$6&amp;"'!"&amp;E$4&amp;ROW()-34))="0",INDIRECT("'"&amp;E$6&amp;"'!"&amp;E$4&amp;ROW()-34)="",NOT(ISNUMBER(INDIRECT("'"&amp;E$6&amp;"'!"&amp;E$4&amp;ROW()-34)))),"-",INDIRECT("'"&amp;E$6&amp;"'!"&amp;E$4&amp;ROW()-34))</f>
        <v>-</v>
      </c>
      <c r="F87" s="126" t="str">
        <f ca="1" t="array" ref="F87">IF(OR(TRIM(INDIRECT("'"&amp;F$6&amp;"'!"&amp;F$4&amp;ROW()-34))="0",INDIRECT("'"&amp;F$6&amp;"'!"&amp;F$4&amp;ROW()-34)="",NOT(ISNUMBER(INDIRECT("'"&amp;F$6&amp;"'!"&amp;F$4&amp;ROW()-34)))),"-",INDIRECT("'"&amp;F$6&amp;"'!"&amp;F$4&amp;ROW()-34))</f>
        <v>-</v>
      </c>
      <c r="G87" s="126" t="str">
        <f ca="1" t="array" ref="G87">IF(OR(TRIM(INDIRECT("'"&amp;G$6&amp;"'!"&amp;G$4&amp;ROW()-34))="0",INDIRECT("'"&amp;G$6&amp;"'!"&amp;G$4&amp;ROW()-34)="",NOT(ISNUMBER(INDIRECT("'"&amp;G$6&amp;"'!"&amp;G$4&amp;ROW()-34)))),"-",INDIRECT("'"&amp;G$6&amp;"'!"&amp;G$4&amp;ROW()-34))</f>
        <v>-</v>
      </c>
      <c r="H87" s="126" t="str">
        <f ca="1" t="array" ref="H87">IF(OR(TRIM(INDIRECT("'"&amp;H$6&amp;"'!"&amp;H$4&amp;ROW()-34))="0",INDIRECT("'"&amp;H$6&amp;"'!"&amp;H$4&amp;ROW()-34)="",NOT(ISNUMBER(INDIRECT("'"&amp;H$6&amp;"'!"&amp;H$4&amp;ROW()-34)))),"-",INDIRECT("'"&amp;H$6&amp;"'!"&amp;H$4&amp;ROW()-34))</f>
        <v>-</v>
      </c>
      <c r="I87" s="126" t="str">
        <f ca="1" t="array" ref="I87">IF(OR(TRIM(INDIRECT("'"&amp;I$6&amp;"'!"&amp;I$4&amp;ROW()-34))="0",INDIRECT("'"&amp;I$6&amp;"'!"&amp;I$4&amp;ROW()-34)="",NOT(ISNUMBER(INDIRECT("'"&amp;I$6&amp;"'!"&amp;I$4&amp;ROW()-34)))),"-",INDIRECT("'"&amp;I$6&amp;"'!"&amp;I$4&amp;ROW()-34))</f>
        <v>-</v>
      </c>
      <c r="J87" s="126" t="str">
        <f ca="1" t="array" ref="J87">IF(OR(TRIM(INDIRECT("'"&amp;J$6&amp;"'!"&amp;J$4&amp;ROW()-34))="0",INDIRECT("'"&amp;J$6&amp;"'!"&amp;J$4&amp;ROW()-34)="",NOT(ISNUMBER(INDIRECT("'"&amp;J$6&amp;"'!"&amp;J$4&amp;ROW()-34)))),"-",INDIRECT("'"&amp;J$6&amp;"'!"&amp;J$4&amp;ROW()-34))</f>
        <v>-</v>
      </c>
      <c r="K87" s="126" t="str">
        <f ca="1" t="array" ref="K87">IF(OR(TRIM(INDIRECT("'"&amp;K$6&amp;"'!"&amp;K$4&amp;ROW()-34))="0",INDIRECT("'"&amp;K$6&amp;"'!"&amp;K$4&amp;ROW()-34)="",NOT(ISNUMBER(INDIRECT("'"&amp;K$6&amp;"'!"&amp;K$4&amp;ROW()-34)))),"-",INDIRECT("'"&amp;K$6&amp;"'!"&amp;K$4&amp;ROW()-34))</f>
        <v>-</v>
      </c>
      <c r="L87" s="126" t="str">
        <f ca="1" t="array" ref="L87">IF(OR(TRIM(INDIRECT("'"&amp;L$6&amp;"'!"&amp;L$4&amp;ROW()-34))="0",INDIRECT("'"&amp;L$6&amp;"'!"&amp;L$4&amp;ROW()-34)="",NOT(ISNUMBER(INDIRECT("'"&amp;L$6&amp;"'!"&amp;L$4&amp;ROW()-34)))),"-",INDIRECT("'"&amp;L$6&amp;"'!"&amp;L$4&amp;ROW()-34))</f>
        <v>-</v>
      </c>
      <c r="M87" s="126" t="str">
        <f ca="1" t="array" ref="M87">IF(OR(TRIM(INDIRECT("'"&amp;M$6&amp;"'!"&amp;M$4&amp;ROW()-34))="0",INDIRECT("'"&amp;M$6&amp;"'!"&amp;M$4&amp;ROW()-34)="",NOT(ISNUMBER(INDIRECT("'"&amp;M$6&amp;"'!"&amp;M$4&amp;ROW()-34)))),"-",INDIRECT("'"&amp;M$6&amp;"'!"&amp;M$4&amp;ROW()-34))</f>
        <v>-</v>
      </c>
      <c r="N87" s="31">
        <f ca="1" t="shared" si="26"/>
        <v>0</v>
      </c>
      <c r="O87" s="31">
        <f ca="1" t="shared" si="27"/>
        <v>0</v>
      </c>
    </row>
    <row r="88" s="28" customFormat="1" spans="1:15">
      <c r="A88" s="13" t="str">
        <f>'Section-Category'!A42</f>
        <v>Dining/Eating Out</v>
      </c>
      <c r="B88" s="126" t="str">
        <f ca="1" t="array" ref="B88">IF(OR(TRIM(INDIRECT("'"&amp;B$6&amp;"'!"&amp;B$4&amp;ROW()-34))="0",INDIRECT("'"&amp;B$6&amp;"'!"&amp;B$4&amp;ROW()-34)="",NOT(ISNUMBER(INDIRECT("'"&amp;B$6&amp;"'!"&amp;B$4&amp;ROW()-34)))),"-",INDIRECT("'"&amp;B$6&amp;"'!"&amp;B$4&amp;ROW()-34))</f>
        <v>-</v>
      </c>
      <c r="C88" s="126" t="str">
        <f ca="1" t="array" ref="C88">IF(OR(TRIM(INDIRECT("'"&amp;C$6&amp;"'!"&amp;C$4&amp;ROW()-34))="0",INDIRECT("'"&amp;C$6&amp;"'!"&amp;C$4&amp;ROW()-34)="",NOT(ISNUMBER(INDIRECT("'"&amp;C$6&amp;"'!"&amp;C$4&amp;ROW()-34)))),"-",INDIRECT("'"&amp;C$6&amp;"'!"&amp;C$4&amp;ROW()-34))</f>
        <v>-</v>
      </c>
      <c r="D88" s="126" t="str">
        <f ca="1" t="array" ref="D88">IF(OR(TRIM(INDIRECT("'"&amp;D$6&amp;"'!"&amp;D$4&amp;ROW()-34))="0",INDIRECT("'"&amp;D$6&amp;"'!"&amp;D$4&amp;ROW()-34)="",NOT(ISNUMBER(INDIRECT("'"&amp;D$6&amp;"'!"&amp;D$4&amp;ROW()-34)))),"-",INDIRECT("'"&amp;D$6&amp;"'!"&amp;D$4&amp;ROW()-34))</f>
        <v>-</v>
      </c>
      <c r="E88" s="126" t="str">
        <f ca="1" t="array" ref="E88">IF(OR(TRIM(INDIRECT("'"&amp;E$6&amp;"'!"&amp;E$4&amp;ROW()-34))="0",INDIRECT("'"&amp;E$6&amp;"'!"&amp;E$4&amp;ROW()-34)="",NOT(ISNUMBER(INDIRECT("'"&amp;E$6&amp;"'!"&amp;E$4&amp;ROW()-34)))),"-",INDIRECT("'"&amp;E$6&amp;"'!"&amp;E$4&amp;ROW()-34))</f>
        <v>-</v>
      </c>
      <c r="F88" s="126" t="str">
        <f ca="1" t="array" ref="F88">IF(OR(TRIM(INDIRECT("'"&amp;F$6&amp;"'!"&amp;F$4&amp;ROW()-34))="0",INDIRECT("'"&amp;F$6&amp;"'!"&amp;F$4&amp;ROW()-34)="",NOT(ISNUMBER(INDIRECT("'"&amp;F$6&amp;"'!"&amp;F$4&amp;ROW()-34)))),"-",INDIRECT("'"&amp;F$6&amp;"'!"&amp;F$4&amp;ROW()-34))</f>
        <v>-</v>
      </c>
      <c r="G88" s="126" t="str">
        <f ca="1" t="array" ref="G88">IF(OR(TRIM(INDIRECT("'"&amp;G$6&amp;"'!"&amp;G$4&amp;ROW()-34))="0",INDIRECT("'"&amp;G$6&amp;"'!"&amp;G$4&amp;ROW()-34)="",NOT(ISNUMBER(INDIRECT("'"&amp;G$6&amp;"'!"&amp;G$4&amp;ROW()-34)))),"-",INDIRECT("'"&amp;G$6&amp;"'!"&amp;G$4&amp;ROW()-34))</f>
        <v>-</v>
      </c>
      <c r="H88" s="126" t="str">
        <f ca="1" t="array" ref="H88">IF(OR(TRIM(INDIRECT("'"&amp;H$6&amp;"'!"&amp;H$4&amp;ROW()-34))="0",INDIRECT("'"&amp;H$6&amp;"'!"&amp;H$4&amp;ROW()-34)="",NOT(ISNUMBER(INDIRECT("'"&amp;H$6&amp;"'!"&amp;H$4&amp;ROW()-34)))),"-",INDIRECT("'"&amp;H$6&amp;"'!"&amp;H$4&amp;ROW()-34))</f>
        <v>-</v>
      </c>
      <c r="I88" s="126" t="str">
        <f ca="1" t="array" ref="I88">IF(OR(TRIM(INDIRECT("'"&amp;I$6&amp;"'!"&amp;I$4&amp;ROW()-34))="0",INDIRECT("'"&amp;I$6&amp;"'!"&amp;I$4&amp;ROW()-34)="",NOT(ISNUMBER(INDIRECT("'"&amp;I$6&amp;"'!"&amp;I$4&amp;ROW()-34)))),"-",INDIRECT("'"&amp;I$6&amp;"'!"&amp;I$4&amp;ROW()-34))</f>
        <v>-</v>
      </c>
      <c r="J88" s="126" t="str">
        <f ca="1" t="array" ref="J88">IF(OR(TRIM(INDIRECT("'"&amp;J$6&amp;"'!"&amp;J$4&amp;ROW()-34))="0",INDIRECT("'"&amp;J$6&amp;"'!"&amp;J$4&amp;ROW()-34)="",NOT(ISNUMBER(INDIRECT("'"&amp;J$6&amp;"'!"&amp;J$4&amp;ROW()-34)))),"-",INDIRECT("'"&amp;J$6&amp;"'!"&amp;J$4&amp;ROW()-34))</f>
        <v>-</v>
      </c>
      <c r="K88" s="126" t="str">
        <f ca="1" t="array" ref="K88">IF(OR(TRIM(INDIRECT("'"&amp;K$6&amp;"'!"&amp;K$4&amp;ROW()-34))="0",INDIRECT("'"&amp;K$6&amp;"'!"&amp;K$4&amp;ROW()-34)="",NOT(ISNUMBER(INDIRECT("'"&amp;K$6&amp;"'!"&amp;K$4&amp;ROW()-34)))),"-",INDIRECT("'"&amp;K$6&amp;"'!"&amp;K$4&amp;ROW()-34))</f>
        <v>-</v>
      </c>
      <c r="L88" s="126" t="str">
        <f ca="1" t="array" ref="L88">IF(OR(TRIM(INDIRECT("'"&amp;L$6&amp;"'!"&amp;L$4&amp;ROW()-34))="0",INDIRECT("'"&amp;L$6&amp;"'!"&amp;L$4&amp;ROW()-34)="",NOT(ISNUMBER(INDIRECT("'"&amp;L$6&amp;"'!"&amp;L$4&amp;ROW()-34)))),"-",INDIRECT("'"&amp;L$6&amp;"'!"&amp;L$4&amp;ROW()-34))</f>
        <v>-</v>
      </c>
      <c r="M88" s="126" t="str">
        <f ca="1" t="array" ref="M88">IF(OR(TRIM(INDIRECT("'"&amp;M$6&amp;"'!"&amp;M$4&amp;ROW()-34))="0",INDIRECT("'"&amp;M$6&amp;"'!"&amp;M$4&amp;ROW()-34)="",NOT(ISNUMBER(INDIRECT("'"&amp;M$6&amp;"'!"&amp;M$4&amp;ROW()-34)))),"-",INDIRECT("'"&amp;M$6&amp;"'!"&amp;M$4&amp;ROW()-34))</f>
        <v>-</v>
      </c>
      <c r="N88" s="31">
        <f ca="1" t="shared" si="26"/>
        <v>0</v>
      </c>
      <c r="O88" s="31">
        <f ca="1" t="shared" si="27"/>
        <v>0</v>
      </c>
    </row>
    <row r="89" s="28" customFormat="1" spans="1:15">
      <c r="A89" s="13" t="str">
        <f>'Section-Category'!A43</f>
        <v>Dry Cleaning</v>
      </c>
      <c r="B89" s="126" t="str">
        <f ca="1" t="array" ref="B89">IF(OR(TRIM(INDIRECT("'"&amp;B$6&amp;"'!"&amp;B$4&amp;ROW()-34))="0",INDIRECT("'"&amp;B$6&amp;"'!"&amp;B$4&amp;ROW()-34)="",NOT(ISNUMBER(INDIRECT("'"&amp;B$6&amp;"'!"&amp;B$4&amp;ROW()-34)))),"-",INDIRECT("'"&amp;B$6&amp;"'!"&amp;B$4&amp;ROW()-34))</f>
        <v>-</v>
      </c>
      <c r="C89" s="126" t="str">
        <f ca="1" t="array" ref="C89">IF(OR(TRIM(INDIRECT("'"&amp;C$6&amp;"'!"&amp;C$4&amp;ROW()-34))="0",INDIRECT("'"&amp;C$6&amp;"'!"&amp;C$4&amp;ROW()-34)="",NOT(ISNUMBER(INDIRECT("'"&amp;C$6&amp;"'!"&amp;C$4&amp;ROW()-34)))),"-",INDIRECT("'"&amp;C$6&amp;"'!"&amp;C$4&amp;ROW()-34))</f>
        <v>-</v>
      </c>
      <c r="D89" s="126" t="str">
        <f ca="1" t="array" ref="D89">IF(OR(TRIM(INDIRECT("'"&amp;D$6&amp;"'!"&amp;D$4&amp;ROW()-34))="0",INDIRECT("'"&amp;D$6&amp;"'!"&amp;D$4&amp;ROW()-34)="",NOT(ISNUMBER(INDIRECT("'"&amp;D$6&amp;"'!"&amp;D$4&amp;ROW()-34)))),"-",INDIRECT("'"&amp;D$6&amp;"'!"&amp;D$4&amp;ROW()-34))</f>
        <v>-</v>
      </c>
      <c r="E89" s="126" t="str">
        <f ca="1" t="array" ref="E89">IF(OR(TRIM(INDIRECT("'"&amp;E$6&amp;"'!"&amp;E$4&amp;ROW()-34))="0",INDIRECT("'"&amp;E$6&amp;"'!"&amp;E$4&amp;ROW()-34)="",NOT(ISNUMBER(INDIRECT("'"&amp;E$6&amp;"'!"&amp;E$4&amp;ROW()-34)))),"-",INDIRECT("'"&amp;E$6&amp;"'!"&amp;E$4&amp;ROW()-34))</f>
        <v>-</v>
      </c>
      <c r="F89" s="126" t="str">
        <f ca="1" t="array" ref="F89">IF(OR(TRIM(INDIRECT("'"&amp;F$6&amp;"'!"&amp;F$4&amp;ROW()-34))="0",INDIRECT("'"&amp;F$6&amp;"'!"&amp;F$4&amp;ROW()-34)="",NOT(ISNUMBER(INDIRECT("'"&amp;F$6&amp;"'!"&amp;F$4&amp;ROW()-34)))),"-",INDIRECT("'"&amp;F$6&amp;"'!"&amp;F$4&amp;ROW()-34))</f>
        <v>-</v>
      </c>
      <c r="G89" s="126" t="str">
        <f ca="1" t="array" ref="G89">IF(OR(TRIM(INDIRECT("'"&amp;G$6&amp;"'!"&amp;G$4&amp;ROW()-34))="0",INDIRECT("'"&amp;G$6&amp;"'!"&amp;G$4&amp;ROW()-34)="",NOT(ISNUMBER(INDIRECT("'"&amp;G$6&amp;"'!"&amp;G$4&amp;ROW()-34)))),"-",INDIRECT("'"&amp;G$6&amp;"'!"&amp;G$4&amp;ROW()-34))</f>
        <v>-</v>
      </c>
      <c r="H89" s="126" t="str">
        <f ca="1" t="array" ref="H89">IF(OR(TRIM(INDIRECT("'"&amp;H$6&amp;"'!"&amp;H$4&amp;ROW()-34))="0",INDIRECT("'"&amp;H$6&amp;"'!"&amp;H$4&amp;ROW()-34)="",NOT(ISNUMBER(INDIRECT("'"&amp;H$6&amp;"'!"&amp;H$4&amp;ROW()-34)))),"-",INDIRECT("'"&amp;H$6&amp;"'!"&amp;H$4&amp;ROW()-34))</f>
        <v>-</v>
      </c>
      <c r="I89" s="126" t="str">
        <f ca="1" t="array" ref="I89">IF(OR(TRIM(INDIRECT("'"&amp;I$6&amp;"'!"&amp;I$4&amp;ROW()-34))="0",INDIRECT("'"&amp;I$6&amp;"'!"&amp;I$4&amp;ROW()-34)="",NOT(ISNUMBER(INDIRECT("'"&amp;I$6&amp;"'!"&amp;I$4&amp;ROW()-34)))),"-",INDIRECT("'"&amp;I$6&amp;"'!"&amp;I$4&amp;ROW()-34))</f>
        <v>-</v>
      </c>
      <c r="J89" s="126" t="str">
        <f ca="1" t="array" ref="J89">IF(OR(TRIM(INDIRECT("'"&amp;J$6&amp;"'!"&amp;J$4&amp;ROW()-34))="0",INDIRECT("'"&amp;J$6&amp;"'!"&amp;J$4&amp;ROW()-34)="",NOT(ISNUMBER(INDIRECT("'"&amp;J$6&amp;"'!"&amp;J$4&amp;ROW()-34)))),"-",INDIRECT("'"&amp;J$6&amp;"'!"&amp;J$4&amp;ROW()-34))</f>
        <v>-</v>
      </c>
      <c r="K89" s="126" t="str">
        <f ca="1" t="array" ref="K89">IF(OR(TRIM(INDIRECT("'"&amp;K$6&amp;"'!"&amp;K$4&amp;ROW()-34))="0",INDIRECT("'"&amp;K$6&amp;"'!"&amp;K$4&amp;ROW()-34)="",NOT(ISNUMBER(INDIRECT("'"&amp;K$6&amp;"'!"&amp;K$4&amp;ROW()-34)))),"-",INDIRECT("'"&amp;K$6&amp;"'!"&amp;K$4&amp;ROW()-34))</f>
        <v>-</v>
      </c>
      <c r="L89" s="126" t="str">
        <f ca="1" t="array" ref="L89">IF(OR(TRIM(INDIRECT("'"&amp;L$6&amp;"'!"&amp;L$4&amp;ROW()-34))="0",INDIRECT("'"&amp;L$6&amp;"'!"&amp;L$4&amp;ROW()-34)="",NOT(ISNUMBER(INDIRECT("'"&amp;L$6&amp;"'!"&amp;L$4&amp;ROW()-34)))),"-",INDIRECT("'"&amp;L$6&amp;"'!"&amp;L$4&amp;ROW()-34))</f>
        <v>-</v>
      </c>
      <c r="M89" s="126" t="str">
        <f ca="1" t="array" ref="M89">IF(OR(TRIM(INDIRECT("'"&amp;M$6&amp;"'!"&amp;M$4&amp;ROW()-34))="0",INDIRECT("'"&amp;M$6&amp;"'!"&amp;M$4&amp;ROW()-34)="",NOT(ISNUMBER(INDIRECT("'"&amp;M$6&amp;"'!"&amp;M$4&amp;ROW()-34)))),"-",INDIRECT("'"&amp;M$6&amp;"'!"&amp;M$4&amp;ROW()-34))</f>
        <v>-</v>
      </c>
      <c r="N89" s="31">
        <f ca="1" t="shared" si="26"/>
        <v>0</v>
      </c>
      <c r="O89" s="31">
        <f ca="1" t="shared" si="27"/>
        <v>0</v>
      </c>
    </row>
    <row r="90" s="28" customFormat="1" spans="1:15">
      <c r="A90" s="13" t="str">
        <f>'Section-Category'!A44</f>
        <v>Salon/Barber</v>
      </c>
      <c r="B90" s="126" t="str">
        <f ca="1" t="array" ref="B90">IF(OR(TRIM(INDIRECT("'"&amp;B$6&amp;"'!"&amp;B$4&amp;ROW()-34))="0",INDIRECT("'"&amp;B$6&amp;"'!"&amp;B$4&amp;ROW()-34)="",NOT(ISNUMBER(INDIRECT("'"&amp;B$6&amp;"'!"&amp;B$4&amp;ROW()-34)))),"-",INDIRECT("'"&amp;B$6&amp;"'!"&amp;B$4&amp;ROW()-34))</f>
        <v>-</v>
      </c>
      <c r="C90" s="126" t="str">
        <f ca="1" t="array" ref="C90">IF(OR(TRIM(INDIRECT("'"&amp;C$6&amp;"'!"&amp;C$4&amp;ROW()-34))="0",INDIRECT("'"&amp;C$6&amp;"'!"&amp;C$4&amp;ROW()-34)="",NOT(ISNUMBER(INDIRECT("'"&amp;C$6&amp;"'!"&amp;C$4&amp;ROW()-34)))),"-",INDIRECT("'"&amp;C$6&amp;"'!"&amp;C$4&amp;ROW()-34))</f>
        <v>-</v>
      </c>
      <c r="D90" s="126" t="str">
        <f ca="1" t="array" ref="D90">IF(OR(TRIM(INDIRECT("'"&amp;D$6&amp;"'!"&amp;D$4&amp;ROW()-34))="0",INDIRECT("'"&amp;D$6&amp;"'!"&amp;D$4&amp;ROW()-34)="",NOT(ISNUMBER(INDIRECT("'"&amp;D$6&amp;"'!"&amp;D$4&amp;ROW()-34)))),"-",INDIRECT("'"&amp;D$6&amp;"'!"&amp;D$4&amp;ROW()-34))</f>
        <v>-</v>
      </c>
      <c r="E90" s="126" t="str">
        <f ca="1" t="array" ref="E90">IF(OR(TRIM(INDIRECT("'"&amp;E$6&amp;"'!"&amp;E$4&amp;ROW()-34))="0",INDIRECT("'"&amp;E$6&amp;"'!"&amp;E$4&amp;ROW()-34)="",NOT(ISNUMBER(INDIRECT("'"&amp;E$6&amp;"'!"&amp;E$4&amp;ROW()-34)))),"-",INDIRECT("'"&amp;E$6&amp;"'!"&amp;E$4&amp;ROW()-34))</f>
        <v>-</v>
      </c>
      <c r="F90" s="126" t="str">
        <f ca="1" t="array" ref="F90">IF(OR(TRIM(INDIRECT("'"&amp;F$6&amp;"'!"&amp;F$4&amp;ROW()-34))="0",INDIRECT("'"&amp;F$6&amp;"'!"&amp;F$4&amp;ROW()-34)="",NOT(ISNUMBER(INDIRECT("'"&amp;F$6&amp;"'!"&amp;F$4&amp;ROW()-34)))),"-",INDIRECT("'"&amp;F$6&amp;"'!"&amp;F$4&amp;ROW()-34))</f>
        <v>-</v>
      </c>
      <c r="G90" s="126" t="str">
        <f ca="1" t="array" ref="G90">IF(OR(TRIM(INDIRECT("'"&amp;G$6&amp;"'!"&amp;G$4&amp;ROW()-34))="0",INDIRECT("'"&amp;G$6&amp;"'!"&amp;G$4&amp;ROW()-34)="",NOT(ISNUMBER(INDIRECT("'"&amp;G$6&amp;"'!"&amp;G$4&amp;ROW()-34)))),"-",INDIRECT("'"&amp;G$6&amp;"'!"&amp;G$4&amp;ROW()-34))</f>
        <v>-</v>
      </c>
      <c r="H90" s="126" t="str">
        <f ca="1" t="array" ref="H90">IF(OR(TRIM(INDIRECT("'"&amp;H$6&amp;"'!"&amp;H$4&amp;ROW()-34))="0",INDIRECT("'"&amp;H$6&amp;"'!"&amp;H$4&amp;ROW()-34)="",NOT(ISNUMBER(INDIRECT("'"&amp;H$6&amp;"'!"&amp;H$4&amp;ROW()-34)))),"-",INDIRECT("'"&amp;H$6&amp;"'!"&amp;H$4&amp;ROW()-34))</f>
        <v>-</v>
      </c>
      <c r="I90" s="126" t="str">
        <f ca="1" t="array" ref="I90">IF(OR(TRIM(INDIRECT("'"&amp;I$6&amp;"'!"&amp;I$4&amp;ROW()-34))="0",INDIRECT("'"&amp;I$6&amp;"'!"&amp;I$4&amp;ROW()-34)="",NOT(ISNUMBER(INDIRECT("'"&amp;I$6&amp;"'!"&amp;I$4&amp;ROW()-34)))),"-",INDIRECT("'"&amp;I$6&amp;"'!"&amp;I$4&amp;ROW()-34))</f>
        <v>-</v>
      </c>
      <c r="J90" s="126" t="str">
        <f ca="1" t="array" ref="J90">IF(OR(TRIM(INDIRECT("'"&amp;J$6&amp;"'!"&amp;J$4&amp;ROW()-34))="0",INDIRECT("'"&amp;J$6&amp;"'!"&amp;J$4&amp;ROW()-34)="",NOT(ISNUMBER(INDIRECT("'"&amp;J$6&amp;"'!"&amp;J$4&amp;ROW()-34)))),"-",INDIRECT("'"&amp;J$6&amp;"'!"&amp;J$4&amp;ROW()-34))</f>
        <v>-</v>
      </c>
      <c r="K90" s="126" t="str">
        <f ca="1" t="array" ref="K90">IF(OR(TRIM(INDIRECT("'"&amp;K$6&amp;"'!"&amp;K$4&amp;ROW()-34))="0",INDIRECT("'"&amp;K$6&amp;"'!"&amp;K$4&amp;ROW()-34)="",NOT(ISNUMBER(INDIRECT("'"&amp;K$6&amp;"'!"&amp;K$4&amp;ROW()-34)))),"-",INDIRECT("'"&amp;K$6&amp;"'!"&amp;K$4&amp;ROW()-34))</f>
        <v>-</v>
      </c>
      <c r="L90" s="126" t="str">
        <f ca="1" t="array" ref="L90">IF(OR(TRIM(INDIRECT("'"&amp;L$6&amp;"'!"&amp;L$4&amp;ROW()-34))="0",INDIRECT("'"&amp;L$6&amp;"'!"&amp;L$4&amp;ROW()-34)="",NOT(ISNUMBER(INDIRECT("'"&amp;L$6&amp;"'!"&amp;L$4&amp;ROW()-34)))),"-",INDIRECT("'"&amp;L$6&amp;"'!"&amp;L$4&amp;ROW()-34))</f>
        <v>-</v>
      </c>
      <c r="M90" s="126" t="str">
        <f ca="1" t="array" ref="M90">IF(OR(TRIM(INDIRECT("'"&amp;M$6&amp;"'!"&amp;M$4&amp;ROW()-34))="0",INDIRECT("'"&amp;M$6&amp;"'!"&amp;M$4&amp;ROW()-34)="",NOT(ISNUMBER(INDIRECT("'"&amp;M$6&amp;"'!"&amp;M$4&amp;ROW()-34)))),"-",INDIRECT("'"&amp;M$6&amp;"'!"&amp;M$4&amp;ROW()-34))</f>
        <v>-</v>
      </c>
      <c r="N90" s="31">
        <f ca="1" t="shared" si="26"/>
        <v>0</v>
      </c>
      <c r="O90" s="31">
        <f ca="1" t="shared" si="27"/>
        <v>0</v>
      </c>
    </row>
    <row r="91" s="28" customFormat="1" spans="1:15">
      <c r="A91" s="13" t="str">
        <f>'Section-Category'!A45</f>
        <v>FoodPanda</v>
      </c>
      <c r="B91" s="126" t="str">
        <f ca="1" t="array" ref="B91">IF(OR(TRIM(INDIRECT("'"&amp;B$6&amp;"'!"&amp;B$4&amp;ROW()-34))="0",INDIRECT("'"&amp;B$6&amp;"'!"&amp;B$4&amp;ROW()-34)="",NOT(ISNUMBER(INDIRECT("'"&amp;B$6&amp;"'!"&amp;B$4&amp;ROW()-34)))),"-",INDIRECT("'"&amp;B$6&amp;"'!"&amp;B$4&amp;ROW()-34))</f>
        <v>-</v>
      </c>
      <c r="C91" s="126" t="str">
        <f ca="1" t="array" ref="C91">IF(OR(TRIM(INDIRECT("'"&amp;C$6&amp;"'!"&amp;C$4&amp;ROW()-34))="0",INDIRECT("'"&amp;C$6&amp;"'!"&amp;C$4&amp;ROW()-34)="",NOT(ISNUMBER(INDIRECT("'"&amp;C$6&amp;"'!"&amp;C$4&amp;ROW()-34)))),"-",INDIRECT("'"&amp;C$6&amp;"'!"&amp;C$4&amp;ROW()-34))</f>
        <v>-</v>
      </c>
      <c r="D91" s="126" t="str">
        <f ca="1" t="array" ref="D91">IF(OR(TRIM(INDIRECT("'"&amp;D$6&amp;"'!"&amp;D$4&amp;ROW()-34))="0",INDIRECT("'"&amp;D$6&amp;"'!"&amp;D$4&amp;ROW()-34)="",NOT(ISNUMBER(INDIRECT("'"&amp;D$6&amp;"'!"&amp;D$4&amp;ROW()-34)))),"-",INDIRECT("'"&amp;D$6&amp;"'!"&amp;D$4&amp;ROW()-34))</f>
        <v>-</v>
      </c>
      <c r="E91" s="126" t="str">
        <f ca="1" t="array" ref="E91">IF(OR(TRIM(INDIRECT("'"&amp;E$6&amp;"'!"&amp;E$4&amp;ROW()-34))="0",INDIRECT("'"&amp;E$6&amp;"'!"&amp;E$4&amp;ROW()-34)="",NOT(ISNUMBER(INDIRECT("'"&amp;E$6&amp;"'!"&amp;E$4&amp;ROW()-34)))),"-",INDIRECT("'"&amp;E$6&amp;"'!"&amp;E$4&amp;ROW()-34))</f>
        <v>-</v>
      </c>
      <c r="F91" s="126" t="str">
        <f ca="1" t="array" ref="F91">IF(OR(TRIM(INDIRECT("'"&amp;F$6&amp;"'!"&amp;F$4&amp;ROW()-34))="0",INDIRECT("'"&amp;F$6&amp;"'!"&amp;F$4&amp;ROW()-34)="",NOT(ISNUMBER(INDIRECT("'"&amp;F$6&amp;"'!"&amp;F$4&amp;ROW()-34)))),"-",INDIRECT("'"&amp;F$6&amp;"'!"&amp;F$4&amp;ROW()-34))</f>
        <v>-</v>
      </c>
      <c r="G91" s="126" t="str">
        <f ca="1" t="array" ref="G91">IF(OR(TRIM(INDIRECT("'"&amp;G$6&amp;"'!"&amp;G$4&amp;ROW()-34))="0",INDIRECT("'"&amp;G$6&amp;"'!"&amp;G$4&amp;ROW()-34)="",NOT(ISNUMBER(INDIRECT("'"&amp;G$6&amp;"'!"&amp;G$4&amp;ROW()-34)))),"-",INDIRECT("'"&amp;G$6&amp;"'!"&amp;G$4&amp;ROW()-34))</f>
        <v>-</v>
      </c>
      <c r="H91" s="126" t="str">
        <f ca="1" t="array" ref="H91">IF(OR(TRIM(INDIRECT("'"&amp;H$6&amp;"'!"&amp;H$4&amp;ROW()-34))="0",INDIRECT("'"&amp;H$6&amp;"'!"&amp;H$4&amp;ROW()-34)="",NOT(ISNUMBER(INDIRECT("'"&amp;H$6&amp;"'!"&amp;H$4&amp;ROW()-34)))),"-",INDIRECT("'"&amp;H$6&amp;"'!"&amp;H$4&amp;ROW()-34))</f>
        <v>-</v>
      </c>
      <c r="I91" s="126" t="str">
        <f ca="1" t="array" ref="I91">IF(OR(TRIM(INDIRECT("'"&amp;I$6&amp;"'!"&amp;I$4&amp;ROW()-34))="0",INDIRECT("'"&amp;I$6&amp;"'!"&amp;I$4&amp;ROW()-34)="",NOT(ISNUMBER(INDIRECT("'"&amp;I$6&amp;"'!"&amp;I$4&amp;ROW()-34)))),"-",INDIRECT("'"&amp;I$6&amp;"'!"&amp;I$4&amp;ROW()-34))</f>
        <v>-</v>
      </c>
      <c r="J91" s="126" t="str">
        <f ca="1" t="array" ref="J91">IF(OR(TRIM(INDIRECT("'"&amp;J$6&amp;"'!"&amp;J$4&amp;ROW()-34))="0",INDIRECT("'"&amp;J$6&amp;"'!"&amp;J$4&amp;ROW()-34)="",NOT(ISNUMBER(INDIRECT("'"&amp;J$6&amp;"'!"&amp;J$4&amp;ROW()-34)))),"-",INDIRECT("'"&amp;J$6&amp;"'!"&amp;J$4&amp;ROW()-34))</f>
        <v>-</v>
      </c>
      <c r="K91" s="126" t="str">
        <f ca="1" t="array" ref="K91">IF(OR(TRIM(INDIRECT("'"&amp;K$6&amp;"'!"&amp;K$4&amp;ROW()-34))="0",INDIRECT("'"&amp;K$6&amp;"'!"&amp;K$4&amp;ROW()-34)="",NOT(ISNUMBER(INDIRECT("'"&amp;K$6&amp;"'!"&amp;K$4&amp;ROW()-34)))),"-",INDIRECT("'"&amp;K$6&amp;"'!"&amp;K$4&amp;ROW()-34))</f>
        <v>-</v>
      </c>
      <c r="L91" s="126" t="str">
        <f ca="1" t="array" ref="L91">IF(OR(TRIM(INDIRECT("'"&amp;L$6&amp;"'!"&amp;L$4&amp;ROW()-34))="0",INDIRECT("'"&amp;L$6&amp;"'!"&amp;L$4&amp;ROW()-34)="",NOT(ISNUMBER(INDIRECT("'"&amp;L$6&amp;"'!"&amp;L$4&amp;ROW()-34)))),"-",INDIRECT("'"&amp;L$6&amp;"'!"&amp;L$4&amp;ROW()-34))</f>
        <v>-</v>
      </c>
      <c r="M91" s="126" t="str">
        <f ca="1" t="array" ref="M91">IF(OR(TRIM(INDIRECT("'"&amp;M$6&amp;"'!"&amp;M$4&amp;ROW()-34))="0",INDIRECT("'"&amp;M$6&amp;"'!"&amp;M$4&amp;ROW()-34)="",NOT(ISNUMBER(INDIRECT("'"&amp;M$6&amp;"'!"&amp;M$4&amp;ROW()-34)))),"-",INDIRECT("'"&amp;M$6&amp;"'!"&amp;M$4&amp;ROW()-34))</f>
        <v>-</v>
      </c>
      <c r="N91" s="31">
        <f ca="1" t="shared" si="26"/>
        <v>0</v>
      </c>
      <c r="O91" s="31">
        <f ca="1" t="shared" si="27"/>
        <v>0</v>
      </c>
    </row>
    <row r="92" s="28" customFormat="1" spans="1:15">
      <c r="A92" s="13" t="str">
        <f>'Section-Category'!A46</f>
        <v>JazzCash/EasyPaisa</v>
      </c>
      <c r="B92" s="126" t="str">
        <f ca="1" t="array" ref="B92">IF(OR(TRIM(INDIRECT("'"&amp;B$6&amp;"'!"&amp;B$4&amp;ROW()-34))="0",INDIRECT("'"&amp;B$6&amp;"'!"&amp;B$4&amp;ROW()-34)="",NOT(ISNUMBER(INDIRECT("'"&amp;B$6&amp;"'!"&amp;B$4&amp;ROW()-34)))),"-",INDIRECT("'"&amp;B$6&amp;"'!"&amp;B$4&amp;ROW()-34))</f>
        <v>-</v>
      </c>
      <c r="C92" s="126" t="str">
        <f ca="1" t="array" ref="C92">IF(OR(TRIM(INDIRECT("'"&amp;C$6&amp;"'!"&amp;C$4&amp;ROW()-34))="0",INDIRECT("'"&amp;C$6&amp;"'!"&amp;C$4&amp;ROW()-34)="",NOT(ISNUMBER(INDIRECT("'"&amp;C$6&amp;"'!"&amp;C$4&amp;ROW()-34)))),"-",INDIRECT("'"&amp;C$6&amp;"'!"&amp;C$4&amp;ROW()-34))</f>
        <v>-</v>
      </c>
      <c r="D92" s="126" t="str">
        <f ca="1" t="array" ref="D92">IF(OR(TRIM(INDIRECT("'"&amp;D$6&amp;"'!"&amp;D$4&amp;ROW()-34))="0",INDIRECT("'"&amp;D$6&amp;"'!"&amp;D$4&amp;ROW()-34)="",NOT(ISNUMBER(INDIRECT("'"&amp;D$6&amp;"'!"&amp;D$4&amp;ROW()-34)))),"-",INDIRECT("'"&amp;D$6&amp;"'!"&amp;D$4&amp;ROW()-34))</f>
        <v>-</v>
      </c>
      <c r="E92" s="126" t="str">
        <f ca="1" t="array" ref="E92">IF(OR(TRIM(INDIRECT("'"&amp;E$6&amp;"'!"&amp;E$4&amp;ROW()-34))="0",INDIRECT("'"&amp;E$6&amp;"'!"&amp;E$4&amp;ROW()-34)="",NOT(ISNUMBER(INDIRECT("'"&amp;E$6&amp;"'!"&amp;E$4&amp;ROW()-34)))),"-",INDIRECT("'"&amp;E$6&amp;"'!"&amp;E$4&amp;ROW()-34))</f>
        <v>-</v>
      </c>
      <c r="F92" s="126" t="str">
        <f ca="1" t="array" ref="F92">IF(OR(TRIM(INDIRECT("'"&amp;F$6&amp;"'!"&amp;F$4&amp;ROW()-34))="0",INDIRECT("'"&amp;F$6&amp;"'!"&amp;F$4&amp;ROW()-34)="",NOT(ISNUMBER(INDIRECT("'"&amp;F$6&amp;"'!"&amp;F$4&amp;ROW()-34)))),"-",INDIRECT("'"&amp;F$6&amp;"'!"&amp;F$4&amp;ROW()-34))</f>
        <v>-</v>
      </c>
      <c r="G92" s="126" t="str">
        <f ca="1" t="array" ref="G92">IF(OR(TRIM(INDIRECT("'"&amp;G$6&amp;"'!"&amp;G$4&amp;ROW()-34))="0",INDIRECT("'"&amp;G$6&amp;"'!"&amp;G$4&amp;ROW()-34)="",NOT(ISNUMBER(INDIRECT("'"&amp;G$6&amp;"'!"&amp;G$4&amp;ROW()-34)))),"-",INDIRECT("'"&amp;G$6&amp;"'!"&amp;G$4&amp;ROW()-34))</f>
        <v>-</v>
      </c>
      <c r="H92" s="126" t="str">
        <f ca="1" t="array" ref="H92">IF(OR(TRIM(INDIRECT("'"&amp;H$6&amp;"'!"&amp;H$4&amp;ROW()-34))="0",INDIRECT("'"&amp;H$6&amp;"'!"&amp;H$4&amp;ROW()-34)="",NOT(ISNUMBER(INDIRECT("'"&amp;H$6&amp;"'!"&amp;H$4&amp;ROW()-34)))),"-",INDIRECT("'"&amp;H$6&amp;"'!"&amp;H$4&amp;ROW()-34))</f>
        <v>-</v>
      </c>
      <c r="I92" s="126" t="str">
        <f ca="1" t="array" ref="I92">IF(OR(TRIM(INDIRECT("'"&amp;I$6&amp;"'!"&amp;I$4&amp;ROW()-34))="0",INDIRECT("'"&amp;I$6&amp;"'!"&amp;I$4&amp;ROW()-34)="",NOT(ISNUMBER(INDIRECT("'"&amp;I$6&amp;"'!"&amp;I$4&amp;ROW()-34)))),"-",INDIRECT("'"&amp;I$6&amp;"'!"&amp;I$4&amp;ROW()-34))</f>
        <v>-</v>
      </c>
      <c r="J92" s="126" t="str">
        <f ca="1" t="array" ref="J92">IF(OR(TRIM(INDIRECT("'"&amp;J$6&amp;"'!"&amp;J$4&amp;ROW()-34))="0",INDIRECT("'"&amp;J$6&amp;"'!"&amp;J$4&amp;ROW()-34)="",NOT(ISNUMBER(INDIRECT("'"&amp;J$6&amp;"'!"&amp;J$4&amp;ROW()-34)))),"-",INDIRECT("'"&amp;J$6&amp;"'!"&amp;J$4&amp;ROW()-34))</f>
        <v>-</v>
      </c>
      <c r="K92" s="126" t="str">
        <f ca="1" t="array" ref="K92">IF(OR(TRIM(INDIRECT("'"&amp;K$6&amp;"'!"&amp;K$4&amp;ROW()-34))="0",INDIRECT("'"&amp;K$6&amp;"'!"&amp;K$4&amp;ROW()-34)="",NOT(ISNUMBER(INDIRECT("'"&amp;K$6&amp;"'!"&amp;K$4&amp;ROW()-34)))),"-",INDIRECT("'"&amp;K$6&amp;"'!"&amp;K$4&amp;ROW()-34))</f>
        <v>-</v>
      </c>
      <c r="L92" s="126" t="str">
        <f ca="1" t="array" ref="L92">IF(OR(TRIM(INDIRECT("'"&amp;L$6&amp;"'!"&amp;L$4&amp;ROW()-34))="0",INDIRECT("'"&amp;L$6&amp;"'!"&amp;L$4&amp;ROW()-34)="",NOT(ISNUMBER(INDIRECT("'"&amp;L$6&amp;"'!"&amp;L$4&amp;ROW()-34)))),"-",INDIRECT("'"&amp;L$6&amp;"'!"&amp;L$4&amp;ROW()-34))</f>
        <v>-</v>
      </c>
      <c r="M92" s="126" t="str">
        <f ca="1" t="array" ref="M92">IF(OR(TRIM(INDIRECT("'"&amp;M$6&amp;"'!"&amp;M$4&amp;ROW()-34))="0",INDIRECT("'"&amp;M$6&amp;"'!"&amp;M$4&amp;ROW()-34)="",NOT(ISNUMBER(INDIRECT("'"&amp;M$6&amp;"'!"&amp;M$4&amp;ROW()-34)))),"-",INDIRECT("'"&amp;M$6&amp;"'!"&amp;M$4&amp;ROW()-34))</f>
        <v>-</v>
      </c>
      <c r="N92" s="31">
        <f ca="1" t="shared" si="26"/>
        <v>0</v>
      </c>
      <c r="O92" s="31">
        <f ca="1" t="shared" si="27"/>
        <v>0</v>
      </c>
    </row>
    <row r="93" s="28" customFormat="1" ht="15" customHeight="1" spans="1:15">
      <c r="A93" s="13" t="str">
        <f>'Section-Category'!A47</f>
        <v>Other</v>
      </c>
      <c r="B93" s="126" t="str">
        <f ca="1" t="array" ref="B93">IF(OR(TRIM(INDIRECT("'"&amp;B$6&amp;"'!"&amp;B$4&amp;ROW()-34))="0",INDIRECT("'"&amp;B$6&amp;"'!"&amp;B$4&amp;ROW()-34)="",NOT(ISNUMBER(INDIRECT("'"&amp;B$6&amp;"'!"&amp;B$4&amp;ROW()-34)))),"-",INDIRECT("'"&amp;B$6&amp;"'!"&amp;B$4&amp;ROW()-34))</f>
        <v>-</v>
      </c>
      <c r="C93" s="126" t="str">
        <f ca="1" t="array" ref="C93">IF(OR(TRIM(INDIRECT("'"&amp;C$6&amp;"'!"&amp;C$4&amp;ROW()-34))="0",INDIRECT("'"&amp;C$6&amp;"'!"&amp;C$4&amp;ROW()-34)="",NOT(ISNUMBER(INDIRECT("'"&amp;C$6&amp;"'!"&amp;C$4&amp;ROW()-34)))),"-",INDIRECT("'"&amp;C$6&amp;"'!"&amp;C$4&amp;ROW()-34))</f>
        <v>-</v>
      </c>
      <c r="D93" s="126" t="str">
        <f ca="1" t="array" ref="D93">IF(OR(TRIM(INDIRECT("'"&amp;D$6&amp;"'!"&amp;D$4&amp;ROW()-34))="0",INDIRECT("'"&amp;D$6&amp;"'!"&amp;D$4&amp;ROW()-34)="",NOT(ISNUMBER(INDIRECT("'"&amp;D$6&amp;"'!"&amp;D$4&amp;ROW()-34)))),"-",INDIRECT("'"&amp;D$6&amp;"'!"&amp;D$4&amp;ROW()-34))</f>
        <v>-</v>
      </c>
      <c r="E93" s="126" t="str">
        <f ca="1" t="array" ref="E93">IF(OR(TRIM(INDIRECT("'"&amp;E$6&amp;"'!"&amp;E$4&amp;ROW()-34))="0",INDIRECT("'"&amp;E$6&amp;"'!"&amp;E$4&amp;ROW()-34)="",NOT(ISNUMBER(INDIRECT("'"&amp;E$6&amp;"'!"&amp;E$4&amp;ROW()-34)))),"-",INDIRECT("'"&amp;E$6&amp;"'!"&amp;E$4&amp;ROW()-34))</f>
        <v>-</v>
      </c>
      <c r="F93" s="126" t="str">
        <f ca="1" t="array" ref="F93">IF(OR(TRIM(INDIRECT("'"&amp;F$6&amp;"'!"&amp;F$4&amp;ROW()-34))="0",INDIRECT("'"&amp;F$6&amp;"'!"&amp;F$4&amp;ROW()-34)="",NOT(ISNUMBER(INDIRECT("'"&amp;F$6&amp;"'!"&amp;F$4&amp;ROW()-34)))),"-",INDIRECT("'"&amp;F$6&amp;"'!"&amp;F$4&amp;ROW()-34))</f>
        <v>-</v>
      </c>
      <c r="G93" s="126" t="str">
        <f ca="1" t="array" ref="G93">IF(OR(TRIM(INDIRECT("'"&amp;G$6&amp;"'!"&amp;G$4&amp;ROW()-34))="0",INDIRECT("'"&amp;G$6&amp;"'!"&amp;G$4&amp;ROW()-34)="",NOT(ISNUMBER(INDIRECT("'"&amp;G$6&amp;"'!"&amp;G$4&amp;ROW()-34)))),"-",INDIRECT("'"&amp;G$6&amp;"'!"&amp;G$4&amp;ROW()-34))</f>
        <v>-</v>
      </c>
      <c r="H93" s="126" t="str">
        <f ca="1" t="array" ref="H93">IF(OR(TRIM(INDIRECT("'"&amp;H$6&amp;"'!"&amp;H$4&amp;ROW()-34))="0",INDIRECT("'"&amp;H$6&amp;"'!"&amp;H$4&amp;ROW()-34)="",NOT(ISNUMBER(INDIRECT("'"&amp;H$6&amp;"'!"&amp;H$4&amp;ROW()-34)))),"-",INDIRECT("'"&amp;H$6&amp;"'!"&amp;H$4&amp;ROW()-34))</f>
        <v>-</v>
      </c>
      <c r="I93" s="126" t="str">
        <f ca="1" t="array" ref="I93">IF(OR(TRIM(INDIRECT("'"&amp;I$6&amp;"'!"&amp;I$4&amp;ROW()-34))="0",INDIRECT("'"&amp;I$6&amp;"'!"&amp;I$4&amp;ROW()-34)="",NOT(ISNUMBER(INDIRECT("'"&amp;I$6&amp;"'!"&amp;I$4&amp;ROW()-34)))),"-",INDIRECT("'"&amp;I$6&amp;"'!"&amp;I$4&amp;ROW()-34))</f>
        <v>-</v>
      </c>
      <c r="J93" s="126" t="str">
        <f ca="1" t="array" ref="J93">IF(OR(TRIM(INDIRECT("'"&amp;J$6&amp;"'!"&amp;J$4&amp;ROW()-34))="0",INDIRECT("'"&amp;J$6&amp;"'!"&amp;J$4&amp;ROW()-34)="",NOT(ISNUMBER(INDIRECT("'"&amp;J$6&amp;"'!"&amp;J$4&amp;ROW()-34)))),"-",INDIRECT("'"&amp;J$6&amp;"'!"&amp;J$4&amp;ROW()-34))</f>
        <v>-</v>
      </c>
      <c r="K93" s="126" t="str">
        <f ca="1" t="array" ref="K93">IF(OR(TRIM(INDIRECT("'"&amp;K$6&amp;"'!"&amp;K$4&amp;ROW()-34))="0",INDIRECT("'"&amp;K$6&amp;"'!"&amp;K$4&amp;ROW()-34)="",NOT(ISNUMBER(INDIRECT("'"&amp;K$6&amp;"'!"&amp;K$4&amp;ROW()-34)))),"-",INDIRECT("'"&amp;K$6&amp;"'!"&amp;K$4&amp;ROW()-34))</f>
        <v>-</v>
      </c>
      <c r="L93" s="126" t="str">
        <f ca="1" t="array" ref="L93">IF(OR(TRIM(INDIRECT("'"&amp;L$6&amp;"'!"&amp;L$4&amp;ROW()-34))="0",INDIRECT("'"&amp;L$6&amp;"'!"&amp;L$4&amp;ROW()-34)="",NOT(ISNUMBER(INDIRECT("'"&amp;L$6&amp;"'!"&amp;L$4&amp;ROW()-34)))),"-",INDIRECT("'"&amp;L$6&amp;"'!"&amp;L$4&amp;ROW()-34))</f>
        <v>-</v>
      </c>
      <c r="M93" s="126" t="str">
        <f ca="1" t="array" ref="M93">IF(OR(TRIM(INDIRECT("'"&amp;M$6&amp;"'!"&amp;M$4&amp;ROW()-34))="0",INDIRECT("'"&amp;M$6&amp;"'!"&amp;M$4&amp;ROW()-34)="",NOT(ISNUMBER(INDIRECT("'"&amp;M$6&amp;"'!"&amp;M$4&amp;ROW()-34)))),"-",INDIRECT("'"&amp;M$6&amp;"'!"&amp;M$4&amp;ROW()-34))</f>
        <v>-</v>
      </c>
      <c r="N93" s="31">
        <f ca="1" t="shared" si="26"/>
        <v>0</v>
      </c>
      <c r="O93" s="31">
        <f ca="1" t="shared" si="27"/>
        <v>0</v>
      </c>
    </row>
    <row r="94" s="66" customFormat="1" ht="15" customHeight="1" spans="1:15">
      <c r="A94" s="10" t="str">
        <f>'Section-Category'!A48</f>
        <v>Total DAILY LIVING</v>
      </c>
      <c r="B94" s="123">
        <f ca="1" t="shared" ref="B94:O94" si="28">SUM(B84:B93)</f>
        <v>0</v>
      </c>
      <c r="C94" s="123">
        <f ca="1" t="shared" si="28"/>
        <v>0</v>
      </c>
      <c r="D94" s="123">
        <f ca="1" t="shared" si="28"/>
        <v>0</v>
      </c>
      <c r="E94" s="123">
        <f ca="1" t="shared" si="28"/>
        <v>0</v>
      </c>
      <c r="F94" s="123">
        <f ca="1" t="shared" si="28"/>
        <v>0</v>
      </c>
      <c r="G94" s="123">
        <f ca="1" t="shared" si="28"/>
        <v>0</v>
      </c>
      <c r="H94" s="123">
        <f ca="1" t="shared" si="28"/>
        <v>0</v>
      </c>
      <c r="I94" s="123">
        <f ca="1" t="shared" si="28"/>
        <v>0</v>
      </c>
      <c r="J94" s="123">
        <f ca="1" t="shared" si="28"/>
        <v>0</v>
      </c>
      <c r="K94" s="123">
        <f ca="1" t="shared" si="28"/>
        <v>0</v>
      </c>
      <c r="L94" s="123">
        <f ca="1" t="shared" si="28"/>
        <v>0</v>
      </c>
      <c r="M94" s="123">
        <f ca="1" t="shared" si="28"/>
        <v>0</v>
      </c>
      <c r="N94" s="39">
        <f ca="1" t="shared" si="28"/>
        <v>0</v>
      </c>
      <c r="O94" s="39">
        <f ca="1" t="shared" si="28"/>
        <v>0</v>
      </c>
    </row>
    <row r="95" s="66" customFormat="1" ht="13.5" customHeight="1" spans="1:15">
      <c r="A95" s="11" t="str">
        <f>'Section-Category'!A49</f>
        <v>% of Total Expenses</v>
      </c>
      <c r="B95" s="124" t="str">
        <f ca="1" t="shared" ref="B95:O95" si="29">IF(B$17=0," - ",B94/B$17)</f>
        <v> - </v>
      </c>
      <c r="C95" s="124" t="str">
        <f ca="1" t="shared" si="29"/>
        <v> - </v>
      </c>
      <c r="D95" s="124" t="str">
        <f ca="1" t="shared" si="29"/>
        <v> - </v>
      </c>
      <c r="E95" s="124" t="str">
        <f ca="1" t="shared" si="29"/>
        <v> - </v>
      </c>
      <c r="F95" s="124" t="str">
        <f ca="1" t="shared" si="29"/>
        <v> - </v>
      </c>
      <c r="G95" s="124" t="str">
        <f ca="1" t="shared" si="29"/>
        <v> - </v>
      </c>
      <c r="H95" s="124" t="str">
        <f ca="1" t="shared" si="29"/>
        <v> - </v>
      </c>
      <c r="I95" s="124" t="str">
        <f ca="1" t="shared" si="29"/>
        <v> - </v>
      </c>
      <c r="J95" s="124" t="str">
        <f ca="1" t="shared" si="29"/>
        <v> - </v>
      </c>
      <c r="K95" s="124" t="str">
        <f ca="1" t="shared" si="29"/>
        <v> - </v>
      </c>
      <c r="L95" s="124" t="str">
        <f ca="1" t="shared" si="29"/>
        <v> - </v>
      </c>
      <c r="M95" s="124" t="str">
        <f ca="1" t="shared" si="29"/>
        <v> - </v>
      </c>
      <c r="N95" s="125" t="str">
        <f ca="1" t="shared" si="29"/>
        <v> - </v>
      </c>
      <c r="O95" s="125" t="str">
        <f ca="1" t="shared" si="29"/>
        <v> - </v>
      </c>
    </row>
    <row r="96" s="28" customFormat="1" ht="13.5" customHeight="1" spans="1:15">
      <c r="A96" s="7"/>
    </row>
    <row r="97" s="62" customFormat="1" spans="1:15">
      <c r="A97" s="12" t="str">
        <f>'Section-Category'!A51</f>
        <v>CHILDREN</v>
      </c>
      <c r="B97" s="40" t="str">
        <f t="shared" ref="B97:M97" si="30">B$6</f>
        <v>Jan</v>
      </c>
      <c r="C97" s="40" t="str">
        <f t="shared" si="30"/>
        <v>Feb</v>
      </c>
      <c r="D97" s="40" t="str">
        <f t="shared" si="30"/>
        <v>Mar</v>
      </c>
      <c r="E97" s="40" t="str">
        <f t="shared" si="30"/>
        <v>Apr</v>
      </c>
      <c r="F97" s="40" t="str">
        <f t="shared" si="30"/>
        <v>May</v>
      </c>
      <c r="G97" s="40" t="str">
        <f t="shared" si="30"/>
        <v>Jun</v>
      </c>
      <c r="H97" s="40" t="str">
        <f t="shared" si="30"/>
        <v>Jul</v>
      </c>
      <c r="I97" s="40" t="str">
        <f t="shared" si="30"/>
        <v>Aug</v>
      </c>
      <c r="J97" s="40" t="str">
        <f t="shared" si="30"/>
        <v>Sep</v>
      </c>
      <c r="K97" s="40" t="str">
        <f t="shared" si="30"/>
        <v>Oct</v>
      </c>
      <c r="L97" s="40" t="str">
        <f t="shared" si="30"/>
        <v>Nov</v>
      </c>
      <c r="M97" s="40" t="str">
        <f t="shared" si="30"/>
        <v>Dec</v>
      </c>
      <c r="N97" s="40" t="s">
        <v>34</v>
      </c>
      <c r="O97" s="40" t="s">
        <v>35</v>
      </c>
    </row>
    <row r="98" s="28" customFormat="1" ht="15" customHeight="1" spans="1:15">
      <c r="A98" s="13" t="str">
        <f>'Section-Category'!A52</f>
        <v>Medical</v>
      </c>
      <c r="B98" s="120" t="str">
        <f ca="1" t="array" ref="B98">IF(OR(TRIM(INDIRECT("'"&amp;B$6&amp;"'!"&amp;B$4&amp;ROW()-35))="0",INDIRECT("'"&amp;B$6&amp;"'!"&amp;B$4&amp;ROW()-35)="",NOT(ISNUMBER(INDIRECT("'"&amp;B$6&amp;"'!"&amp;B$4&amp;ROW()-35)))),"-",INDIRECT("'"&amp;B$6&amp;"'!"&amp;B$4&amp;ROW()-35))</f>
        <v>-</v>
      </c>
      <c r="C98" s="120" t="str">
        <f ca="1" t="array" ref="C98">IF(OR(TRIM(INDIRECT("'"&amp;C$6&amp;"'!"&amp;C$4&amp;ROW()-35))="0",INDIRECT("'"&amp;C$6&amp;"'!"&amp;C$4&amp;ROW()-35)="",NOT(ISNUMBER(INDIRECT("'"&amp;C$6&amp;"'!"&amp;C$4&amp;ROW()-35)))),"-",INDIRECT("'"&amp;C$6&amp;"'!"&amp;C$4&amp;ROW()-35))</f>
        <v>-</v>
      </c>
      <c r="D98" s="120" t="str">
        <f ca="1" t="array" ref="D98">IF(OR(TRIM(INDIRECT("'"&amp;D$6&amp;"'!"&amp;D$4&amp;ROW()-35))="0",INDIRECT("'"&amp;D$6&amp;"'!"&amp;D$4&amp;ROW()-35)="",NOT(ISNUMBER(INDIRECT("'"&amp;D$6&amp;"'!"&amp;D$4&amp;ROW()-35)))),"-",INDIRECT("'"&amp;D$6&amp;"'!"&amp;D$4&amp;ROW()-35))</f>
        <v>-</v>
      </c>
      <c r="E98" s="120" t="str">
        <f ca="1" t="array" ref="E98">IF(OR(TRIM(INDIRECT("'"&amp;E$6&amp;"'!"&amp;E$4&amp;ROW()-35))="0",INDIRECT("'"&amp;E$6&amp;"'!"&amp;E$4&amp;ROW()-35)="",NOT(ISNUMBER(INDIRECT("'"&amp;E$6&amp;"'!"&amp;E$4&amp;ROW()-35)))),"-",INDIRECT("'"&amp;E$6&amp;"'!"&amp;E$4&amp;ROW()-35))</f>
        <v>-</v>
      </c>
      <c r="F98" s="120" t="str">
        <f ca="1" t="array" ref="F98">IF(OR(TRIM(INDIRECT("'"&amp;F$6&amp;"'!"&amp;F$4&amp;ROW()-35))="0",INDIRECT("'"&amp;F$6&amp;"'!"&amp;F$4&amp;ROW()-35)="",NOT(ISNUMBER(INDIRECT("'"&amp;F$6&amp;"'!"&amp;F$4&amp;ROW()-35)))),"-",INDIRECT("'"&amp;F$6&amp;"'!"&amp;F$4&amp;ROW()-35))</f>
        <v>-</v>
      </c>
      <c r="G98" s="120" t="str">
        <f ca="1" t="array" ref="G98">IF(OR(TRIM(INDIRECT("'"&amp;G$6&amp;"'!"&amp;G$4&amp;ROW()-35))="0",INDIRECT("'"&amp;G$6&amp;"'!"&amp;G$4&amp;ROW()-35)="",NOT(ISNUMBER(INDIRECT("'"&amp;G$6&amp;"'!"&amp;G$4&amp;ROW()-35)))),"-",INDIRECT("'"&amp;G$6&amp;"'!"&amp;G$4&amp;ROW()-35))</f>
        <v>-</v>
      </c>
      <c r="H98" s="120" t="str">
        <f ca="1" t="array" ref="H98">IF(OR(TRIM(INDIRECT("'"&amp;H$6&amp;"'!"&amp;H$4&amp;ROW()-35))="0",INDIRECT("'"&amp;H$6&amp;"'!"&amp;H$4&amp;ROW()-35)="",NOT(ISNUMBER(INDIRECT("'"&amp;H$6&amp;"'!"&amp;H$4&amp;ROW()-35)))),"-",INDIRECT("'"&amp;H$6&amp;"'!"&amp;H$4&amp;ROW()-35))</f>
        <v>-</v>
      </c>
      <c r="I98" s="120" t="str">
        <f ca="1" t="array" ref="I98">IF(OR(TRIM(INDIRECT("'"&amp;I$6&amp;"'!"&amp;I$4&amp;ROW()-35))="0",INDIRECT("'"&amp;I$6&amp;"'!"&amp;I$4&amp;ROW()-35)="",NOT(ISNUMBER(INDIRECT("'"&amp;I$6&amp;"'!"&amp;I$4&amp;ROW()-35)))),"-",INDIRECT("'"&amp;I$6&amp;"'!"&amp;I$4&amp;ROW()-35))</f>
        <v>-</v>
      </c>
      <c r="J98" s="120" t="str">
        <f ca="1" t="array" ref="J98">IF(OR(TRIM(INDIRECT("'"&amp;J$6&amp;"'!"&amp;J$4&amp;ROW()-35))="0",INDIRECT("'"&amp;J$6&amp;"'!"&amp;J$4&amp;ROW()-35)="",NOT(ISNUMBER(INDIRECT("'"&amp;J$6&amp;"'!"&amp;J$4&amp;ROW()-35)))),"-",INDIRECT("'"&amp;J$6&amp;"'!"&amp;J$4&amp;ROW()-35))</f>
        <v>-</v>
      </c>
      <c r="K98" s="120" t="str">
        <f ca="1" t="array" ref="K98">IF(OR(TRIM(INDIRECT("'"&amp;K$6&amp;"'!"&amp;K$4&amp;ROW()-35))="0",INDIRECT("'"&amp;K$6&amp;"'!"&amp;K$4&amp;ROW()-35)="",NOT(ISNUMBER(INDIRECT("'"&amp;K$6&amp;"'!"&amp;K$4&amp;ROW()-35)))),"-",INDIRECT("'"&amp;K$6&amp;"'!"&amp;K$4&amp;ROW()-35))</f>
        <v>-</v>
      </c>
      <c r="L98" s="120" t="str">
        <f ca="1" t="array" ref="L98">IF(OR(TRIM(INDIRECT("'"&amp;L$6&amp;"'!"&amp;L$4&amp;ROW()-35))="0",INDIRECT("'"&amp;L$6&amp;"'!"&amp;L$4&amp;ROW()-35)="",NOT(ISNUMBER(INDIRECT("'"&amp;L$6&amp;"'!"&amp;L$4&amp;ROW()-35)))),"-",INDIRECT("'"&amp;L$6&amp;"'!"&amp;L$4&amp;ROW()-35))</f>
        <v>-</v>
      </c>
      <c r="M98" s="120" t="str">
        <f ca="1" t="array" ref="M98">IF(OR(TRIM(INDIRECT("'"&amp;M$6&amp;"'!"&amp;M$4&amp;ROW()-35))="0",INDIRECT("'"&amp;M$6&amp;"'!"&amp;M$4&amp;ROW()-35)="",NOT(ISNUMBER(INDIRECT("'"&amp;M$6&amp;"'!"&amp;M$4&amp;ROW()-35)))),"-",INDIRECT("'"&amp;M$6&amp;"'!"&amp;M$4&amp;ROW()-35))</f>
        <v>-</v>
      </c>
      <c r="N98" s="31">
        <f ca="1" t="shared" ref="N98:N105" si="31">SUM(B98:M98)</f>
        <v>0</v>
      </c>
      <c r="O98" s="31">
        <f ca="1" t="shared" ref="O98:O105" si="32">N98/COLUMNS(B98:M98)</f>
        <v>0</v>
      </c>
    </row>
    <row r="99" s="28" customFormat="1" ht="15" customHeight="1" spans="1:15">
      <c r="A99" s="13" t="str">
        <f>'Section-Category'!A53</f>
        <v>Clothing</v>
      </c>
      <c r="B99" s="120" t="str">
        <f ca="1" t="array" ref="B99">IF(OR(TRIM(INDIRECT("'"&amp;B$6&amp;"'!"&amp;B$4&amp;ROW()-35))="0",INDIRECT("'"&amp;B$6&amp;"'!"&amp;B$4&amp;ROW()-35)="",NOT(ISNUMBER(INDIRECT("'"&amp;B$6&amp;"'!"&amp;B$4&amp;ROW()-35)))),"-",INDIRECT("'"&amp;B$6&amp;"'!"&amp;B$4&amp;ROW()-35))</f>
        <v>-</v>
      </c>
      <c r="C99" s="120" t="str">
        <f ca="1" t="array" ref="C99">IF(OR(TRIM(INDIRECT("'"&amp;C$6&amp;"'!"&amp;C$4&amp;ROW()-35))="0",INDIRECT("'"&amp;C$6&amp;"'!"&amp;C$4&amp;ROW()-35)="",NOT(ISNUMBER(INDIRECT("'"&amp;C$6&amp;"'!"&amp;C$4&amp;ROW()-35)))),"-",INDIRECT("'"&amp;C$6&amp;"'!"&amp;C$4&amp;ROW()-35))</f>
        <v>-</v>
      </c>
      <c r="D99" s="120" t="str">
        <f ca="1" t="array" ref="D99">IF(OR(TRIM(INDIRECT("'"&amp;D$6&amp;"'!"&amp;D$4&amp;ROW()-35))="0",INDIRECT("'"&amp;D$6&amp;"'!"&amp;D$4&amp;ROW()-35)="",NOT(ISNUMBER(INDIRECT("'"&amp;D$6&amp;"'!"&amp;D$4&amp;ROW()-35)))),"-",INDIRECT("'"&amp;D$6&amp;"'!"&amp;D$4&amp;ROW()-35))</f>
        <v>-</v>
      </c>
      <c r="E99" s="120" t="str">
        <f ca="1" t="array" ref="E99">IF(OR(TRIM(INDIRECT("'"&amp;E$6&amp;"'!"&amp;E$4&amp;ROW()-35))="0",INDIRECT("'"&amp;E$6&amp;"'!"&amp;E$4&amp;ROW()-35)="",NOT(ISNUMBER(INDIRECT("'"&amp;E$6&amp;"'!"&amp;E$4&amp;ROW()-35)))),"-",INDIRECT("'"&amp;E$6&amp;"'!"&amp;E$4&amp;ROW()-35))</f>
        <v>-</v>
      </c>
      <c r="F99" s="120" t="str">
        <f ca="1" t="array" ref="F99">IF(OR(TRIM(INDIRECT("'"&amp;F$6&amp;"'!"&amp;F$4&amp;ROW()-35))="0",INDIRECT("'"&amp;F$6&amp;"'!"&amp;F$4&amp;ROW()-35)="",NOT(ISNUMBER(INDIRECT("'"&amp;F$6&amp;"'!"&amp;F$4&amp;ROW()-35)))),"-",INDIRECT("'"&amp;F$6&amp;"'!"&amp;F$4&amp;ROW()-35))</f>
        <v>-</v>
      </c>
      <c r="G99" s="120" t="str">
        <f ca="1" t="array" ref="G99">IF(OR(TRIM(INDIRECT("'"&amp;G$6&amp;"'!"&amp;G$4&amp;ROW()-35))="0",INDIRECT("'"&amp;G$6&amp;"'!"&amp;G$4&amp;ROW()-35)="",NOT(ISNUMBER(INDIRECT("'"&amp;G$6&amp;"'!"&amp;G$4&amp;ROW()-35)))),"-",INDIRECT("'"&amp;G$6&amp;"'!"&amp;G$4&amp;ROW()-35))</f>
        <v>-</v>
      </c>
      <c r="H99" s="120" t="str">
        <f ca="1" t="array" ref="H99">IF(OR(TRIM(INDIRECT("'"&amp;H$6&amp;"'!"&amp;H$4&amp;ROW()-35))="0",INDIRECT("'"&amp;H$6&amp;"'!"&amp;H$4&amp;ROW()-35)="",NOT(ISNUMBER(INDIRECT("'"&amp;H$6&amp;"'!"&amp;H$4&amp;ROW()-35)))),"-",INDIRECT("'"&amp;H$6&amp;"'!"&amp;H$4&amp;ROW()-35))</f>
        <v>-</v>
      </c>
      <c r="I99" s="120" t="str">
        <f ca="1" t="array" ref="I99">IF(OR(TRIM(INDIRECT("'"&amp;I$6&amp;"'!"&amp;I$4&amp;ROW()-35))="0",INDIRECT("'"&amp;I$6&amp;"'!"&amp;I$4&amp;ROW()-35)="",NOT(ISNUMBER(INDIRECT("'"&amp;I$6&amp;"'!"&amp;I$4&amp;ROW()-35)))),"-",INDIRECT("'"&amp;I$6&amp;"'!"&amp;I$4&amp;ROW()-35))</f>
        <v>-</v>
      </c>
      <c r="J99" s="120" t="str">
        <f ca="1" t="array" ref="J99">IF(OR(TRIM(INDIRECT("'"&amp;J$6&amp;"'!"&amp;J$4&amp;ROW()-35))="0",INDIRECT("'"&amp;J$6&amp;"'!"&amp;J$4&amp;ROW()-35)="",NOT(ISNUMBER(INDIRECT("'"&amp;J$6&amp;"'!"&amp;J$4&amp;ROW()-35)))),"-",INDIRECT("'"&amp;J$6&amp;"'!"&amp;J$4&amp;ROW()-35))</f>
        <v>-</v>
      </c>
      <c r="K99" s="120" t="str">
        <f ca="1" t="array" ref="K99">IF(OR(TRIM(INDIRECT("'"&amp;K$6&amp;"'!"&amp;K$4&amp;ROW()-35))="0",INDIRECT("'"&amp;K$6&amp;"'!"&amp;K$4&amp;ROW()-35)="",NOT(ISNUMBER(INDIRECT("'"&amp;K$6&amp;"'!"&amp;K$4&amp;ROW()-35)))),"-",INDIRECT("'"&amp;K$6&amp;"'!"&amp;K$4&amp;ROW()-35))</f>
        <v>-</v>
      </c>
      <c r="L99" s="120" t="str">
        <f ca="1" t="array" ref="L99">IF(OR(TRIM(INDIRECT("'"&amp;L$6&amp;"'!"&amp;L$4&amp;ROW()-35))="0",INDIRECT("'"&amp;L$6&amp;"'!"&amp;L$4&amp;ROW()-35)="",NOT(ISNUMBER(INDIRECT("'"&amp;L$6&amp;"'!"&amp;L$4&amp;ROW()-35)))),"-",INDIRECT("'"&amp;L$6&amp;"'!"&amp;L$4&amp;ROW()-35))</f>
        <v>-</v>
      </c>
      <c r="M99" s="120" t="str">
        <f ca="1" t="array" ref="M99">IF(OR(TRIM(INDIRECT("'"&amp;M$6&amp;"'!"&amp;M$4&amp;ROW()-35))="0",INDIRECT("'"&amp;M$6&amp;"'!"&amp;M$4&amp;ROW()-35)="",NOT(ISNUMBER(INDIRECT("'"&amp;M$6&amp;"'!"&amp;M$4&amp;ROW()-35)))),"-",INDIRECT("'"&amp;M$6&amp;"'!"&amp;M$4&amp;ROW()-35))</f>
        <v>-</v>
      </c>
      <c r="N99" s="31">
        <f ca="1" t="shared" si="31"/>
        <v>0</v>
      </c>
      <c r="O99" s="31">
        <f ca="1" t="shared" si="32"/>
        <v>0</v>
      </c>
    </row>
    <row r="100" s="28" customFormat="1" ht="15" customHeight="1" spans="1:15">
      <c r="A100" s="13" t="str">
        <f>'Section-Category'!A54</f>
        <v>School Tuition</v>
      </c>
      <c r="B100" s="120" t="str">
        <f ca="1" t="array" ref="B100">IF(OR(TRIM(INDIRECT("'"&amp;B$6&amp;"'!"&amp;B$4&amp;ROW()-35))="0",INDIRECT("'"&amp;B$6&amp;"'!"&amp;B$4&amp;ROW()-35)="",NOT(ISNUMBER(INDIRECT("'"&amp;B$6&amp;"'!"&amp;B$4&amp;ROW()-35)))),"-",INDIRECT("'"&amp;B$6&amp;"'!"&amp;B$4&amp;ROW()-35))</f>
        <v>-</v>
      </c>
      <c r="C100" s="120" t="str">
        <f ca="1" t="array" ref="C100">IF(OR(TRIM(INDIRECT("'"&amp;C$6&amp;"'!"&amp;C$4&amp;ROW()-35))="0",INDIRECT("'"&amp;C$6&amp;"'!"&amp;C$4&amp;ROW()-35)="",NOT(ISNUMBER(INDIRECT("'"&amp;C$6&amp;"'!"&amp;C$4&amp;ROW()-35)))),"-",INDIRECT("'"&amp;C$6&amp;"'!"&amp;C$4&amp;ROW()-35))</f>
        <v>-</v>
      </c>
      <c r="D100" s="120" t="str">
        <f ca="1" t="array" ref="D100">IF(OR(TRIM(INDIRECT("'"&amp;D$6&amp;"'!"&amp;D$4&amp;ROW()-35))="0",INDIRECT("'"&amp;D$6&amp;"'!"&amp;D$4&amp;ROW()-35)="",NOT(ISNUMBER(INDIRECT("'"&amp;D$6&amp;"'!"&amp;D$4&amp;ROW()-35)))),"-",INDIRECT("'"&amp;D$6&amp;"'!"&amp;D$4&amp;ROW()-35))</f>
        <v>-</v>
      </c>
      <c r="E100" s="120" t="str">
        <f ca="1" t="array" ref="E100">IF(OR(TRIM(INDIRECT("'"&amp;E$6&amp;"'!"&amp;E$4&amp;ROW()-35))="0",INDIRECT("'"&amp;E$6&amp;"'!"&amp;E$4&amp;ROW()-35)="",NOT(ISNUMBER(INDIRECT("'"&amp;E$6&amp;"'!"&amp;E$4&amp;ROW()-35)))),"-",INDIRECT("'"&amp;E$6&amp;"'!"&amp;E$4&amp;ROW()-35))</f>
        <v>-</v>
      </c>
      <c r="F100" s="120" t="str">
        <f ca="1" t="array" ref="F100">IF(OR(TRIM(INDIRECT("'"&amp;F$6&amp;"'!"&amp;F$4&amp;ROW()-35))="0",INDIRECT("'"&amp;F$6&amp;"'!"&amp;F$4&amp;ROW()-35)="",NOT(ISNUMBER(INDIRECT("'"&amp;F$6&amp;"'!"&amp;F$4&amp;ROW()-35)))),"-",INDIRECT("'"&amp;F$6&amp;"'!"&amp;F$4&amp;ROW()-35))</f>
        <v>-</v>
      </c>
      <c r="G100" s="120" t="str">
        <f ca="1" t="array" ref="G100">IF(OR(TRIM(INDIRECT("'"&amp;G$6&amp;"'!"&amp;G$4&amp;ROW()-35))="0",INDIRECT("'"&amp;G$6&amp;"'!"&amp;G$4&amp;ROW()-35)="",NOT(ISNUMBER(INDIRECT("'"&amp;G$6&amp;"'!"&amp;G$4&amp;ROW()-35)))),"-",INDIRECT("'"&amp;G$6&amp;"'!"&amp;G$4&amp;ROW()-35))</f>
        <v>-</v>
      </c>
      <c r="H100" s="120" t="str">
        <f ca="1" t="array" ref="H100">IF(OR(TRIM(INDIRECT("'"&amp;H$6&amp;"'!"&amp;H$4&amp;ROW()-35))="0",INDIRECT("'"&amp;H$6&amp;"'!"&amp;H$4&amp;ROW()-35)="",NOT(ISNUMBER(INDIRECT("'"&amp;H$6&amp;"'!"&amp;H$4&amp;ROW()-35)))),"-",INDIRECT("'"&amp;H$6&amp;"'!"&amp;H$4&amp;ROW()-35))</f>
        <v>-</v>
      </c>
      <c r="I100" s="120" t="str">
        <f ca="1" t="array" ref="I100">IF(OR(TRIM(INDIRECT("'"&amp;I$6&amp;"'!"&amp;I$4&amp;ROW()-35))="0",INDIRECT("'"&amp;I$6&amp;"'!"&amp;I$4&amp;ROW()-35)="",NOT(ISNUMBER(INDIRECT("'"&amp;I$6&amp;"'!"&amp;I$4&amp;ROW()-35)))),"-",INDIRECT("'"&amp;I$6&amp;"'!"&amp;I$4&amp;ROW()-35))</f>
        <v>-</v>
      </c>
      <c r="J100" s="120" t="str">
        <f ca="1" t="array" ref="J100">IF(OR(TRIM(INDIRECT("'"&amp;J$6&amp;"'!"&amp;J$4&amp;ROW()-35))="0",INDIRECT("'"&amp;J$6&amp;"'!"&amp;J$4&amp;ROW()-35)="",NOT(ISNUMBER(INDIRECT("'"&amp;J$6&amp;"'!"&amp;J$4&amp;ROW()-35)))),"-",INDIRECT("'"&amp;J$6&amp;"'!"&amp;J$4&amp;ROW()-35))</f>
        <v>-</v>
      </c>
      <c r="K100" s="120" t="str">
        <f ca="1" t="array" ref="K100">IF(OR(TRIM(INDIRECT("'"&amp;K$6&amp;"'!"&amp;K$4&amp;ROW()-35))="0",INDIRECT("'"&amp;K$6&amp;"'!"&amp;K$4&amp;ROW()-35)="",NOT(ISNUMBER(INDIRECT("'"&amp;K$6&amp;"'!"&amp;K$4&amp;ROW()-35)))),"-",INDIRECT("'"&amp;K$6&amp;"'!"&amp;K$4&amp;ROW()-35))</f>
        <v>-</v>
      </c>
      <c r="L100" s="120" t="str">
        <f ca="1" t="array" ref="L100">IF(OR(TRIM(INDIRECT("'"&amp;L$6&amp;"'!"&amp;L$4&amp;ROW()-35))="0",INDIRECT("'"&amp;L$6&amp;"'!"&amp;L$4&amp;ROW()-35)="",NOT(ISNUMBER(INDIRECT("'"&amp;L$6&amp;"'!"&amp;L$4&amp;ROW()-35)))),"-",INDIRECT("'"&amp;L$6&amp;"'!"&amp;L$4&amp;ROW()-35))</f>
        <v>-</v>
      </c>
      <c r="M100" s="120" t="str">
        <f ca="1" t="array" ref="M100">IF(OR(TRIM(INDIRECT("'"&amp;M$6&amp;"'!"&amp;M$4&amp;ROW()-35))="0",INDIRECT("'"&amp;M$6&amp;"'!"&amp;M$4&amp;ROW()-35)="",NOT(ISNUMBER(INDIRECT("'"&amp;M$6&amp;"'!"&amp;M$4&amp;ROW()-35)))),"-",INDIRECT("'"&amp;M$6&amp;"'!"&amp;M$4&amp;ROW()-35))</f>
        <v>-</v>
      </c>
      <c r="N100" s="31">
        <f ca="1" t="shared" si="31"/>
        <v>0</v>
      </c>
      <c r="O100" s="31">
        <f ca="1" t="shared" si="32"/>
        <v>0</v>
      </c>
    </row>
    <row r="101" s="28" customFormat="1" ht="15" customHeight="1" spans="1:15">
      <c r="A101" s="13" t="str">
        <f>'Section-Category'!A55</f>
        <v>School Lunch</v>
      </c>
      <c r="B101" s="120" t="str">
        <f ca="1" t="array" ref="B101">IF(OR(TRIM(INDIRECT("'"&amp;B$6&amp;"'!"&amp;B$4&amp;ROW()-35))="0",INDIRECT("'"&amp;B$6&amp;"'!"&amp;B$4&amp;ROW()-35)="",NOT(ISNUMBER(INDIRECT("'"&amp;B$6&amp;"'!"&amp;B$4&amp;ROW()-35)))),"-",INDIRECT("'"&amp;B$6&amp;"'!"&amp;B$4&amp;ROW()-35))</f>
        <v>-</v>
      </c>
      <c r="C101" s="120" t="str">
        <f ca="1" t="array" ref="C101">IF(OR(TRIM(INDIRECT("'"&amp;C$6&amp;"'!"&amp;C$4&amp;ROW()-35))="0",INDIRECT("'"&amp;C$6&amp;"'!"&amp;C$4&amp;ROW()-35)="",NOT(ISNUMBER(INDIRECT("'"&amp;C$6&amp;"'!"&amp;C$4&amp;ROW()-35)))),"-",INDIRECT("'"&amp;C$6&amp;"'!"&amp;C$4&amp;ROW()-35))</f>
        <v>-</v>
      </c>
      <c r="D101" s="120" t="str">
        <f ca="1" t="array" ref="D101">IF(OR(TRIM(INDIRECT("'"&amp;D$6&amp;"'!"&amp;D$4&amp;ROW()-35))="0",INDIRECT("'"&amp;D$6&amp;"'!"&amp;D$4&amp;ROW()-35)="",NOT(ISNUMBER(INDIRECT("'"&amp;D$6&amp;"'!"&amp;D$4&amp;ROW()-35)))),"-",INDIRECT("'"&amp;D$6&amp;"'!"&amp;D$4&amp;ROW()-35))</f>
        <v>-</v>
      </c>
      <c r="E101" s="120" t="str">
        <f ca="1" t="array" ref="E101">IF(OR(TRIM(INDIRECT("'"&amp;E$6&amp;"'!"&amp;E$4&amp;ROW()-35))="0",INDIRECT("'"&amp;E$6&amp;"'!"&amp;E$4&amp;ROW()-35)="",NOT(ISNUMBER(INDIRECT("'"&amp;E$6&amp;"'!"&amp;E$4&amp;ROW()-35)))),"-",INDIRECT("'"&amp;E$6&amp;"'!"&amp;E$4&amp;ROW()-35))</f>
        <v>-</v>
      </c>
      <c r="F101" s="120" t="str">
        <f ca="1" t="array" ref="F101">IF(OR(TRIM(INDIRECT("'"&amp;F$6&amp;"'!"&amp;F$4&amp;ROW()-35))="0",INDIRECT("'"&amp;F$6&amp;"'!"&amp;F$4&amp;ROW()-35)="",NOT(ISNUMBER(INDIRECT("'"&amp;F$6&amp;"'!"&amp;F$4&amp;ROW()-35)))),"-",INDIRECT("'"&amp;F$6&amp;"'!"&amp;F$4&amp;ROW()-35))</f>
        <v>-</v>
      </c>
      <c r="G101" s="120" t="str">
        <f ca="1" t="array" ref="G101">IF(OR(TRIM(INDIRECT("'"&amp;G$6&amp;"'!"&amp;G$4&amp;ROW()-35))="0",INDIRECT("'"&amp;G$6&amp;"'!"&amp;G$4&amp;ROW()-35)="",NOT(ISNUMBER(INDIRECT("'"&amp;G$6&amp;"'!"&amp;G$4&amp;ROW()-35)))),"-",INDIRECT("'"&amp;G$6&amp;"'!"&amp;G$4&amp;ROW()-35))</f>
        <v>-</v>
      </c>
      <c r="H101" s="120" t="str">
        <f ca="1" t="array" ref="H101">IF(OR(TRIM(INDIRECT("'"&amp;H$6&amp;"'!"&amp;H$4&amp;ROW()-35))="0",INDIRECT("'"&amp;H$6&amp;"'!"&amp;H$4&amp;ROW()-35)="",NOT(ISNUMBER(INDIRECT("'"&amp;H$6&amp;"'!"&amp;H$4&amp;ROW()-35)))),"-",INDIRECT("'"&amp;H$6&amp;"'!"&amp;H$4&amp;ROW()-35))</f>
        <v>-</v>
      </c>
      <c r="I101" s="120" t="str">
        <f ca="1" t="array" ref="I101">IF(OR(TRIM(INDIRECT("'"&amp;I$6&amp;"'!"&amp;I$4&amp;ROW()-35))="0",INDIRECT("'"&amp;I$6&amp;"'!"&amp;I$4&amp;ROW()-35)="",NOT(ISNUMBER(INDIRECT("'"&amp;I$6&amp;"'!"&amp;I$4&amp;ROW()-35)))),"-",INDIRECT("'"&amp;I$6&amp;"'!"&amp;I$4&amp;ROW()-35))</f>
        <v>-</v>
      </c>
      <c r="J101" s="120" t="str">
        <f ca="1" t="array" ref="J101">IF(OR(TRIM(INDIRECT("'"&amp;J$6&amp;"'!"&amp;J$4&amp;ROW()-35))="0",INDIRECT("'"&amp;J$6&amp;"'!"&amp;J$4&amp;ROW()-35)="",NOT(ISNUMBER(INDIRECT("'"&amp;J$6&amp;"'!"&amp;J$4&amp;ROW()-35)))),"-",INDIRECT("'"&amp;J$6&amp;"'!"&amp;J$4&amp;ROW()-35))</f>
        <v>-</v>
      </c>
      <c r="K101" s="120" t="str">
        <f ca="1" t="array" ref="K101">IF(OR(TRIM(INDIRECT("'"&amp;K$6&amp;"'!"&amp;K$4&amp;ROW()-35))="0",INDIRECT("'"&amp;K$6&amp;"'!"&amp;K$4&amp;ROW()-35)="",NOT(ISNUMBER(INDIRECT("'"&amp;K$6&amp;"'!"&amp;K$4&amp;ROW()-35)))),"-",INDIRECT("'"&amp;K$6&amp;"'!"&amp;K$4&amp;ROW()-35))</f>
        <v>-</v>
      </c>
      <c r="L101" s="120" t="str">
        <f ca="1" t="array" ref="L101">IF(OR(TRIM(INDIRECT("'"&amp;L$6&amp;"'!"&amp;L$4&amp;ROW()-35))="0",INDIRECT("'"&amp;L$6&amp;"'!"&amp;L$4&amp;ROW()-35)="",NOT(ISNUMBER(INDIRECT("'"&amp;L$6&amp;"'!"&amp;L$4&amp;ROW()-35)))),"-",INDIRECT("'"&amp;L$6&amp;"'!"&amp;L$4&amp;ROW()-35))</f>
        <v>-</v>
      </c>
      <c r="M101" s="120" t="str">
        <f ca="1" t="array" ref="M101">IF(OR(TRIM(INDIRECT("'"&amp;M$6&amp;"'!"&amp;M$4&amp;ROW()-35))="0",INDIRECT("'"&amp;M$6&amp;"'!"&amp;M$4&amp;ROW()-35)="",NOT(ISNUMBER(INDIRECT("'"&amp;M$6&amp;"'!"&amp;M$4&amp;ROW()-35)))),"-",INDIRECT("'"&amp;M$6&amp;"'!"&amp;M$4&amp;ROW()-35))</f>
        <v>-</v>
      </c>
      <c r="N101" s="31">
        <f ca="1" t="shared" si="31"/>
        <v>0</v>
      </c>
      <c r="O101" s="31">
        <f ca="1" t="shared" si="32"/>
        <v>0</v>
      </c>
    </row>
    <row r="102" s="28" customFormat="1" ht="15" customHeight="1" spans="1:15">
      <c r="A102" s="13" t="str">
        <f>'Section-Category'!A56</f>
        <v>School Supplies</v>
      </c>
      <c r="B102" s="120" t="str">
        <f ca="1" t="array" ref="B102">IF(OR(TRIM(INDIRECT("'"&amp;B$6&amp;"'!"&amp;B$4&amp;ROW()-35))="0",INDIRECT("'"&amp;B$6&amp;"'!"&amp;B$4&amp;ROW()-35)="",NOT(ISNUMBER(INDIRECT("'"&amp;B$6&amp;"'!"&amp;B$4&amp;ROW()-35)))),"-",INDIRECT("'"&amp;B$6&amp;"'!"&amp;B$4&amp;ROW()-35))</f>
        <v>-</v>
      </c>
      <c r="C102" s="120" t="str">
        <f ca="1" t="array" ref="C102">IF(OR(TRIM(INDIRECT("'"&amp;C$6&amp;"'!"&amp;C$4&amp;ROW()-35))="0",INDIRECT("'"&amp;C$6&amp;"'!"&amp;C$4&amp;ROW()-35)="",NOT(ISNUMBER(INDIRECT("'"&amp;C$6&amp;"'!"&amp;C$4&amp;ROW()-35)))),"-",INDIRECT("'"&amp;C$6&amp;"'!"&amp;C$4&amp;ROW()-35))</f>
        <v>-</v>
      </c>
      <c r="D102" s="120" t="str">
        <f ca="1" t="array" ref="D102">IF(OR(TRIM(INDIRECT("'"&amp;D$6&amp;"'!"&amp;D$4&amp;ROW()-35))="0",INDIRECT("'"&amp;D$6&amp;"'!"&amp;D$4&amp;ROW()-35)="",NOT(ISNUMBER(INDIRECT("'"&amp;D$6&amp;"'!"&amp;D$4&amp;ROW()-35)))),"-",INDIRECT("'"&amp;D$6&amp;"'!"&amp;D$4&amp;ROW()-35))</f>
        <v>-</v>
      </c>
      <c r="E102" s="120" t="str">
        <f ca="1" t="array" ref="E102">IF(OR(TRIM(INDIRECT("'"&amp;E$6&amp;"'!"&amp;E$4&amp;ROW()-35))="0",INDIRECT("'"&amp;E$6&amp;"'!"&amp;E$4&amp;ROW()-35)="",NOT(ISNUMBER(INDIRECT("'"&amp;E$6&amp;"'!"&amp;E$4&amp;ROW()-35)))),"-",INDIRECT("'"&amp;E$6&amp;"'!"&amp;E$4&amp;ROW()-35))</f>
        <v>-</v>
      </c>
      <c r="F102" s="120" t="str">
        <f ca="1" t="array" ref="F102">IF(OR(TRIM(INDIRECT("'"&amp;F$6&amp;"'!"&amp;F$4&amp;ROW()-35))="0",INDIRECT("'"&amp;F$6&amp;"'!"&amp;F$4&amp;ROW()-35)="",NOT(ISNUMBER(INDIRECT("'"&amp;F$6&amp;"'!"&amp;F$4&amp;ROW()-35)))),"-",INDIRECT("'"&amp;F$6&amp;"'!"&amp;F$4&amp;ROW()-35))</f>
        <v>-</v>
      </c>
      <c r="G102" s="120" t="str">
        <f ca="1" t="array" ref="G102">IF(OR(TRIM(INDIRECT("'"&amp;G$6&amp;"'!"&amp;G$4&amp;ROW()-35))="0",INDIRECT("'"&amp;G$6&amp;"'!"&amp;G$4&amp;ROW()-35)="",NOT(ISNUMBER(INDIRECT("'"&amp;G$6&amp;"'!"&amp;G$4&amp;ROW()-35)))),"-",INDIRECT("'"&amp;G$6&amp;"'!"&amp;G$4&amp;ROW()-35))</f>
        <v>-</v>
      </c>
      <c r="H102" s="120" t="str">
        <f ca="1" t="array" ref="H102">IF(OR(TRIM(INDIRECT("'"&amp;H$6&amp;"'!"&amp;H$4&amp;ROW()-35))="0",INDIRECT("'"&amp;H$6&amp;"'!"&amp;H$4&amp;ROW()-35)="",NOT(ISNUMBER(INDIRECT("'"&amp;H$6&amp;"'!"&amp;H$4&amp;ROW()-35)))),"-",INDIRECT("'"&amp;H$6&amp;"'!"&amp;H$4&amp;ROW()-35))</f>
        <v>-</v>
      </c>
      <c r="I102" s="120" t="str">
        <f ca="1" t="array" ref="I102">IF(OR(TRIM(INDIRECT("'"&amp;I$6&amp;"'!"&amp;I$4&amp;ROW()-35))="0",INDIRECT("'"&amp;I$6&amp;"'!"&amp;I$4&amp;ROW()-35)="",NOT(ISNUMBER(INDIRECT("'"&amp;I$6&amp;"'!"&amp;I$4&amp;ROW()-35)))),"-",INDIRECT("'"&amp;I$6&amp;"'!"&amp;I$4&amp;ROW()-35))</f>
        <v>-</v>
      </c>
      <c r="J102" s="120" t="str">
        <f ca="1" t="array" ref="J102">IF(OR(TRIM(INDIRECT("'"&amp;J$6&amp;"'!"&amp;J$4&amp;ROW()-35))="0",INDIRECT("'"&amp;J$6&amp;"'!"&amp;J$4&amp;ROW()-35)="",NOT(ISNUMBER(INDIRECT("'"&amp;J$6&amp;"'!"&amp;J$4&amp;ROW()-35)))),"-",INDIRECT("'"&amp;J$6&amp;"'!"&amp;J$4&amp;ROW()-35))</f>
        <v>-</v>
      </c>
      <c r="K102" s="120" t="str">
        <f ca="1" t="array" ref="K102">IF(OR(TRIM(INDIRECT("'"&amp;K$6&amp;"'!"&amp;K$4&amp;ROW()-35))="0",INDIRECT("'"&amp;K$6&amp;"'!"&amp;K$4&amp;ROW()-35)="",NOT(ISNUMBER(INDIRECT("'"&amp;K$6&amp;"'!"&amp;K$4&amp;ROW()-35)))),"-",INDIRECT("'"&amp;K$6&amp;"'!"&amp;K$4&amp;ROW()-35))</f>
        <v>-</v>
      </c>
      <c r="L102" s="120" t="str">
        <f ca="1" t="array" ref="L102">IF(OR(TRIM(INDIRECT("'"&amp;L$6&amp;"'!"&amp;L$4&amp;ROW()-35))="0",INDIRECT("'"&amp;L$6&amp;"'!"&amp;L$4&amp;ROW()-35)="",NOT(ISNUMBER(INDIRECT("'"&amp;L$6&amp;"'!"&amp;L$4&amp;ROW()-35)))),"-",INDIRECT("'"&amp;L$6&amp;"'!"&amp;L$4&amp;ROW()-35))</f>
        <v>-</v>
      </c>
      <c r="M102" s="120" t="str">
        <f ca="1" t="array" ref="M102">IF(OR(TRIM(INDIRECT("'"&amp;M$6&amp;"'!"&amp;M$4&amp;ROW()-35))="0",INDIRECT("'"&amp;M$6&amp;"'!"&amp;M$4&amp;ROW()-35)="",NOT(ISNUMBER(INDIRECT("'"&amp;M$6&amp;"'!"&amp;M$4&amp;ROW()-35)))),"-",INDIRECT("'"&amp;M$6&amp;"'!"&amp;M$4&amp;ROW()-35))</f>
        <v>-</v>
      </c>
      <c r="N102" s="31">
        <f ca="1" t="shared" si="31"/>
        <v>0</v>
      </c>
      <c r="O102" s="31">
        <f ca="1" t="shared" si="32"/>
        <v>0</v>
      </c>
    </row>
    <row r="103" s="28" customFormat="1" ht="15" customHeight="1" spans="1:15">
      <c r="A103" s="13" t="str">
        <f>'Section-Category'!A57</f>
        <v>Babysitting</v>
      </c>
      <c r="B103" s="120" t="str">
        <f ca="1" t="array" ref="B103">IF(OR(TRIM(INDIRECT("'"&amp;B$6&amp;"'!"&amp;B$4&amp;ROW()-35))="0",INDIRECT("'"&amp;B$6&amp;"'!"&amp;B$4&amp;ROW()-35)="",NOT(ISNUMBER(INDIRECT("'"&amp;B$6&amp;"'!"&amp;B$4&amp;ROW()-35)))),"-",INDIRECT("'"&amp;B$6&amp;"'!"&amp;B$4&amp;ROW()-35))</f>
        <v>-</v>
      </c>
      <c r="C103" s="120" t="str">
        <f ca="1" t="array" ref="C103">IF(OR(TRIM(INDIRECT("'"&amp;C$6&amp;"'!"&amp;C$4&amp;ROW()-35))="0",INDIRECT("'"&amp;C$6&amp;"'!"&amp;C$4&amp;ROW()-35)="",NOT(ISNUMBER(INDIRECT("'"&amp;C$6&amp;"'!"&amp;C$4&amp;ROW()-35)))),"-",INDIRECT("'"&amp;C$6&amp;"'!"&amp;C$4&amp;ROW()-35))</f>
        <v>-</v>
      </c>
      <c r="D103" s="120" t="str">
        <f ca="1" t="array" ref="D103">IF(OR(TRIM(INDIRECT("'"&amp;D$6&amp;"'!"&amp;D$4&amp;ROW()-35))="0",INDIRECT("'"&amp;D$6&amp;"'!"&amp;D$4&amp;ROW()-35)="",NOT(ISNUMBER(INDIRECT("'"&amp;D$6&amp;"'!"&amp;D$4&amp;ROW()-35)))),"-",INDIRECT("'"&amp;D$6&amp;"'!"&amp;D$4&amp;ROW()-35))</f>
        <v>-</v>
      </c>
      <c r="E103" s="120" t="str">
        <f ca="1" t="array" ref="E103">IF(OR(TRIM(INDIRECT("'"&amp;E$6&amp;"'!"&amp;E$4&amp;ROW()-35))="0",INDIRECT("'"&amp;E$6&amp;"'!"&amp;E$4&amp;ROW()-35)="",NOT(ISNUMBER(INDIRECT("'"&amp;E$6&amp;"'!"&amp;E$4&amp;ROW()-35)))),"-",INDIRECT("'"&amp;E$6&amp;"'!"&amp;E$4&amp;ROW()-35))</f>
        <v>-</v>
      </c>
      <c r="F103" s="120" t="str">
        <f ca="1" t="array" ref="F103">IF(OR(TRIM(INDIRECT("'"&amp;F$6&amp;"'!"&amp;F$4&amp;ROW()-35))="0",INDIRECT("'"&amp;F$6&amp;"'!"&amp;F$4&amp;ROW()-35)="",NOT(ISNUMBER(INDIRECT("'"&amp;F$6&amp;"'!"&amp;F$4&amp;ROW()-35)))),"-",INDIRECT("'"&amp;F$6&amp;"'!"&amp;F$4&amp;ROW()-35))</f>
        <v>-</v>
      </c>
      <c r="G103" s="120" t="str">
        <f ca="1" t="array" ref="G103">IF(OR(TRIM(INDIRECT("'"&amp;G$6&amp;"'!"&amp;G$4&amp;ROW()-35))="0",INDIRECT("'"&amp;G$6&amp;"'!"&amp;G$4&amp;ROW()-35)="",NOT(ISNUMBER(INDIRECT("'"&amp;G$6&amp;"'!"&amp;G$4&amp;ROW()-35)))),"-",INDIRECT("'"&amp;G$6&amp;"'!"&amp;G$4&amp;ROW()-35))</f>
        <v>-</v>
      </c>
      <c r="H103" s="120" t="str">
        <f ca="1" t="array" ref="H103">IF(OR(TRIM(INDIRECT("'"&amp;H$6&amp;"'!"&amp;H$4&amp;ROW()-35))="0",INDIRECT("'"&amp;H$6&amp;"'!"&amp;H$4&amp;ROW()-35)="",NOT(ISNUMBER(INDIRECT("'"&amp;H$6&amp;"'!"&amp;H$4&amp;ROW()-35)))),"-",INDIRECT("'"&amp;H$6&amp;"'!"&amp;H$4&amp;ROW()-35))</f>
        <v>-</v>
      </c>
      <c r="I103" s="120" t="str">
        <f ca="1" t="array" ref="I103">IF(OR(TRIM(INDIRECT("'"&amp;I$6&amp;"'!"&amp;I$4&amp;ROW()-35))="0",INDIRECT("'"&amp;I$6&amp;"'!"&amp;I$4&amp;ROW()-35)="",NOT(ISNUMBER(INDIRECT("'"&amp;I$6&amp;"'!"&amp;I$4&amp;ROW()-35)))),"-",INDIRECT("'"&amp;I$6&amp;"'!"&amp;I$4&amp;ROW()-35))</f>
        <v>-</v>
      </c>
      <c r="J103" s="120" t="str">
        <f ca="1" t="array" ref="J103">IF(OR(TRIM(INDIRECT("'"&amp;J$6&amp;"'!"&amp;J$4&amp;ROW()-35))="0",INDIRECT("'"&amp;J$6&amp;"'!"&amp;J$4&amp;ROW()-35)="",NOT(ISNUMBER(INDIRECT("'"&amp;J$6&amp;"'!"&amp;J$4&amp;ROW()-35)))),"-",INDIRECT("'"&amp;J$6&amp;"'!"&amp;J$4&amp;ROW()-35))</f>
        <v>-</v>
      </c>
      <c r="K103" s="120" t="str">
        <f ca="1" t="array" ref="K103">IF(OR(TRIM(INDIRECT("'"&amp;K$6&amp;"'!"&amp;K$4&amp;ROW()-35))="0",INDIRECT("'"&amp;K$6&amp;"'!"&amp;K$4&amp;ROW()-35)="",NOT(ISNUMBER(INDIRECT("'"&amp;K$6&amp;"'!"&amp;K$4&amp;ROW()-35)))),"-",INDIRECT("'"&amp;K$6&amp;"'!"&amp;K$4&amp;ROW()-35))</f>
        <v>-</v>
      </c>
      <c r="L103" s="120" t="str">
        <f ca="1" t="array" ref="L103">IF(OR(TRIM(INDIRECT("'"&amp;L$6&amp;"'!"&amp;L$4&amp;ROW()-35))="0",INDIRECT("'"&amp;L$6&amp;"'!"&amp;L$4&amp;ROW()-35)="",NOT(ISNUMBER(INDIRECT("'"&amp;L$6&amp;"'!"&amp;L$4&amp;ROW()-35)))),"-",INDIRECT("'"&amp;L$6&amp;"'!"&amp;L$4&amp;ROW()-35))</f>
        <v>-</v>
      </c>
      <c r="M103" s="120" t="str">
        <f ca="1" t="array" ref="M103">IF(OR(TRIM(INDIRECT("'"&amp;M$6&amp;"'!"&amp;M$4&amp;ROW()-35))="0",INDIRECT("'"&amp;M$6&amp;"'!"&amp;M$4&amp;ROW()-35)="",NOT(ISNUMBER(INDIRECT("'"&amp;M$6&amp;"'!"&amp;M$4&amp;ROW()-35)))),"-",INDIRECT("'"&amp;M$6&amp;"'!"&amp;M$4&amp;ROW()-35))</f>
        <v>-</v>
      </c>
      <c r="N103" s="31">
        <f ca="1" t="shared" si="31"/>
        <v>0</v>
      </c>
      <c r="O103" s="31">
        <f ca="1" t="shared" si="32"/>
        <v>0</v>
      </c>
    </row>
    <row r="104" s="28" customFormat="1" ht="15" customHeight="1" spans="1:15">
      <c r="A104" s="13" t="str">
        <f>'Section-Category'!A58</f>
        <v>Toys/Games</v>
      </c>
      <c r="B104" s="120" t="str">
        <f ca="1" t="array" ref="B104">IF(OR(TRIM(INDIRECT("'"&amp;B$6&amp;"'!"&amp;B$4&amp;ROW()-35))="0",INDIRECT("'"&amp;B$6&amp;"'!"&amp;B$4&amp;ROW()-35)="",NOT(ISNUMBER(INDIRECT("'"&amp;B$6&amp;"'!"&amp;B$4&amp;ROW()-35)))),"-",INDIRECT("'"&amp;B$6&amp;"'!"&amp;B$4&amp;ROW()-35))</f>
        <v>-</v>
      </c>
      <c r="C104" s="120" t="str">
        <f ca="1" t="array" ref="C104">IF(OR(TRIM(INDIRECT("'"&amp;C$6&amp;"'!"&amp;C$4&amp;ROW()-35))="0",INDIRECT("'"&amp;C$6&amp;"'!"&amp;C$4&amp;ROW()-35)="",NOT(ISNUMBER(INDIRECT("'"&amp;C$6&amp;"'!"&amp;C$4&amp;ROW()-35)))),"-",INDIRECT("'"&amp;C$6&amp;"'!"&amp;C$4&amp;ROW()-35))</f>
        <v>-</v>
      </c>
      <c r="D104" s="120" t="str">
        <f ca="1" t="array" ref="D104">IF(OR(TRIM(INDIRECT("'"&amp;D$6&amp;"'!"&amp;D$4&amp;ROW()-35))="0",INDIRECT("'"&amp;D$6&amp;"'!"&amp;D$4&amp;ROW()-35)="",NOT(ISNUMBER(INDIRECT("'"&amp;D$6&amp;"'!"&amp;D$4&amp;ROW()-35)))),"-",INDIRECT("'"&amp;D$6&amp;"'!"&amp;D$4&amp;ROW()-35))</f>
        <v>-</v>
      </c>
      <c r="E104" s="120" t="str">
        <f ca="1" t="array" ref="E104">IF(OR(TRIM(INDIRECT("'"&amp;E$6&amp;"'!"&amp;E$4&amp;ROW()-35))="0",INDIRECT("'"&amp;E$6&amp;"'!"&amp;E$4&amp;ROW()-35)="",NOT(ISNUMBER(INDIRECT("'"&amp;E$6&amp;"'!"&amp;E$4&amp;ROW()-35)))),"-",INDIRECT("'"&amp;E$6&amp;"'!"&amp;E$4&amp;ROW()-35))</f>
        <v>-</v>
      </c>
      <c r="F104" s="120" t="str">
        <f ca="1" t="array" ref="F104">IF(OR(TRIM(INDIRECT("'"&amp;F$6&amp;"'!"&amp;F$4&amp;ROW()-35))="0",INDIRECT("'"&amp;F$6&amp;"'!"&amp;F$4&amp;ROW()-35)="",NOT(ISNUMBER(INDIRECT("'"&amp;F$6&amp;"'!"&amp;F$4&amp;ROW()-35)))),"-",INDIRECT("'"&amp;F$6&amp;"'!"&amp;F$4&amp;ROW()-35))</f>
        <v>-</v>
      </c>
      <c r="G104" s="120" t="str">
        <f ca="1" t="array" ref="G104">IF(OR(TRIM(INDIRECT("'"&amp;G$6&amp;"'!"&amp;G$4&amp;ROW()-35))="0",INDIRECT("'"&amp;G$6&amp;"'!"&amp;G$4&amp;ROW()-35)="",NOT(ISNUMBER(INDIRECT("'"&amp;G$6&amp;"'!"&amp;G$4&amp;ROW()-35)))),"-",INDIRECT("'"&amp;G$6&amp;"'!"&amp;G$4&amp;ROW()-35))</f>
        <v>-</v>
      </c>
      <c r="H104" s="120" t="str">
        <f ca="1" t="array" ref="H104">IF(OR(TRIM(INDIRECT("'"&amp;H$6&amp;"'!"&amp;H$4&amp;ROW()-35))="0",INDIRECT("'"&amp;H$6&amp;"'!"&amp;H$4&amp;ROW()-35)="",NOT(ISNUMBER(INDIRECT("'"&amp;H$6&amp;"'!"&amp;H$4&amp;ROW()-35)))),"-",INDIRECT("'"&amp;H$6&amp;"'!"&amp;H$4&amp;ROW()-35))</f>
        <v>-</v>
      </c>
      <c r="I104" s="120" t="str">
        <f ca="1" t="array" ref="I104">IF(OR(TRIM(INDIRECT("'"&amp;I$6&amp;"'!"&amp;I$4&amp;ROW()-35))="0",INDIRECT("'"&amp;I$6&amp;"'!"&amp;I$4&amp;ROW()-35)="",NOT(ISNUMBER(INDIRECT("'"&amp;I$6&amp;"'!"&amp;I$4&amp;ROW()-35)))),"-",INDIRECT("'"&amp;I$6&amp;"'!"&amp;I$4&amp;ROW()-35))</f>
        <v>-</v>
      </c>
      <c r="J104" s="120" t="str">
        <f ca="1" t="array" ref="J104">IF(OR(TRIM(INDIRECT("'"&amp;J$6&amp;"'!"&amp;J$4&amp;ROW()-35))="0",INDIRECT("'"&amp;J$6&amp;"'!"&amp;J$4&amp;ROW()-35)="",NOT(ISNUMBER(INDIRECT("'"&amp;J$6&amp;"'!"&amp;J$4&amp;ROW()-35)))),"-",INDIRECT("'"&amp;J$6&amp;"'!"&amp;J$4&amp;ROW()-35))</f>
        <v>-</v>
      </c>
      <c r="K104" s="120" t="str">
        <f ca="1" t="array" ref="K104">IF(OR(TRIM(INDIRECT("'"&amp;K$6&amp;"'!"&amp;K$4&amp;ROW()-35))="0",INDIRECT("'"&amp;K$6&amp;"'!"&amp;K$4&amp;ROW()-35)="",NOT(ISNUMBER(INDIRECT("'"&amp;K$6&amp;"'!"&amp;K$4&amp;ROW()-35)))),"-",INDIRECT("'"&amp;K$6&amp;"'!"&amp;K$4&amp;ROW()-35))</f>
        <v>-</v>
      </c>
      <c r="L104" s="120" t="str">
        <f ca="1" t="array" ref="L104">IF(OR(TRIM(INDIRECT("'"&amp;L$6&amp;"'!"&amp;L$4&amp;ROW()-35))="0",INDIRECT("'"&amp;L$6&amp;"'!"&amp;L$4&amp;ROW()-35)="",NOT(ISNUMBER(INDIRECT("'"&amp;L$6&amp;"'!"&amp;L$4&amp;ROW()-35)))),"-",INDIRECT("'"&amp;L$6&amp;"'!"&amp;L$4&amp;ROW()-35))</f>
        <v>-</v>
      </c>
      <c r="M104" s="120" t="str">
        <f ca="1" t="array" ref="M104">IF(OR(TRIM(INDIRECT("'"&amp;M$6&amp;"'!"&amp;M$4&amp;ROW()-35))="0",INDIRECT("'"&amp;M$6&amp;"'!"&amp;M$4&amp;ROW()-35)="",NOT(ISNUMBER(INDIRECT("'"&amp;M$6&amp;"'!"&amp;M$4&amp;ROW()-35)))),"-",INDIRECT("'"&amp;M$6&amp;"'!"&amp;M$4&amp;ROW()-35))</f>
        <v>-</v>
      </c>
      <c r="N104" s="31">
        <f ca="1" t="shared" si="31"/>
        <v>0</v>
      </c>
      <c r="O104" s="31">
        <f ca="1" t="shared" si="32"/>
        <v>0</v>
      </c>
    </row>
    <row r="105" s="28" customFormat="1" ht="15.75" customHeight="1" spans="1:15">
      <c r="A105" s="13" t="str">
        <f>'Section-Category'!A59</f>
        <v>Other</v>
      </c>
      <c r="B105" s="120" t="str">
        <f ca="1" t="array" ref="B105">IF(OR(TRIM(INDIRECT("'"&amp;B$6&amp;"'!"&amp;B$4&amp;ROW()-35))="0",INDIRECT("'"&amp;B$6&amp;"'!"&amp;B$4&amp;ROW()-35)="",NOT(ISNUMBER(INDIRECT("'"&amp;B$6&amp;"'!"&amp;B$4&amp;ROW()-35)))),"-",INDIRECT("'"&amp;B$6&amp;"'!"&amp;B$4&amp;ROW()-35))</f>
        <v>-</v>
      </c>
      <c r="C105" s="120" t="str">
        <f ca="1" t="array" ref="C105">IF(OR(TRIM(INDIRECT("'"&amp;C$6&amp;"'!"&amp;C$4&amp;ROW()-35))="0",INDIRECT("'"&amp;C$6&amp;"'!"&amp;C$4&amp;ROW()-35)="",NOT(ISNUMBER(INDIRECT("'"&amp;C$6&amp;"'!"&amp;C$4&amp;ROW()-35)))),"-",INDIRECT("'"&amp;C$6&amp;"'!"&amp;C$4&amp;ROW()-35))</f>
        <v>-</v>
      </c>
      <c r="D105" s="120" t="str">
        <f ca="1" t="array" ref="D105">IF(OR(TRIM(INDIRECT("'"&amp;D$6&amp;"'!"&amp;D$4&amp;ROW()-35))="0",INDIRECT("'"&amp;D$6&amp;"'!"&amp;D$4&amp;ROW()-35)="",NOT(ISNUMBER(INDIRECT("'"&amp;D$6&amp;"'!"&amp;D$4&amp;ROW()-35)))),"-",INDIRECT("'"&amp;D$6&amp;"'!"&amp;D$4&amp;ROW()-35))</f>
        <v>-</v>
      </c>
      <c r="E105" s="120" t="str">
        <f ca="1" t="array" ref="E105">IF(OR(TRIM(INDIRECT("'"&amp;E$6&amp;"'!"&amp;E$4&amp;ROW()-35))="0",INDIRECT("'"&amp;E$6&amp;"'!"&amp;E$4&amp;ROW()-35)="",NOT(ISNUMBER(INDIRECT("'"&amp;E$6&amp;"'!"&amp;E$4&amp;ROW()-35)))),"-",INDIRECT("'"&amp;E$6&amp;"'!"&amp;E$4&amp;ROW()-35))</f>
        <v>-</v>
      </c>
      <c r="F105" s="120" t="str">
        <f ca="1" t="array" ref="F105">IF(OR(TRIM(INDIRECT("'"&amp;F$6&amp;"'!"&amp;F$4&amp;ROW()-35))="0",INDIRECT("'"&amp;F$6&amp;"'!"&amp;F$4&amp;ROW()-35)="",NOT(ISNUMBER(INDIRECT("'"&amp;F$6&amp;"'!"&amp;F$4&amp;ROW()-35)))),"-",INDIRECT("'"&amp;F$6&amp;"'!"&amp;F$4&amp;ROW()-35))</f>
        <v>-</v>
      </c>
      <c r="G105" s="120" t="str">
        <f ca="1" t="array" ref="G105">IF(OR(TRIM(INDIRECT("'"&amp;G$6&amp;"'!"&amp;G$4&amp;ROW()-35))="0",INDIRECT("'"&amp;G$6&amp;"'!"&amp;G$4&amp;ROW()-35)="",NOT(ISNUMBER(INDIRECT("'"&amp;G$6&amp;"'!"&amp;G$4&amp;ROW()-35)))),"-",INDIRECT("'"&amp;G$6&amp;"'!"&amp;G$4&amp;ROW()-35))</f>
        <v>-</v>
      </c>
      <c r="H105" s="120" t="str">
        <f ca="1" t="array" ref="H105">IF(OR(TRIM(INDIRECT("'"&amp;H$6&amp;"'!"&amp;H$4&amp;ROW()-35))="0",INDIRECT("'"&amp;H$6&amp;"'!"&amp;H$4&amp;ROW()-35)="",NOT(ISNUMBER(INDIRECT("'"&amp;H$6&amp;"'!"&amp;H$4&amp;ROW()-35)))),"-",INDIRECT("'"&amp;H$6&amp;"'!"&amp;H$4&amp;ROW()-35))</f>
        <v>-</v>
      </c>
      <c r="I105" s="120" t="str">
        <f ca="1" t="array" ref="I105">IF(OR(TRIM(INDIRECT("'"&amp;I$6&amp;"'!"&amp;I$4&amp;ROW()-35))="0",INDIRECT("'"&amp;I$6&amp;"'!"&amp;I$4&amp;ROW()-35)="",NOT(ISNUMBER(INDIRECT("'"&amp;I$6&amp;"'!"&amp;I$4&amp;ROW()-35)))),"-",INDIRECT("'"&amp;I$6&amp;"'!"&amp;I$4&amp;ROW()-35))</f>
        <v>-</v>
      </c>
      <c r="J105" s="120" t="str">
        <f ca="1" t="array" ref="J105">IF(OR(TRIM(INDIRECT("'"&amp;J$6&amp;"'!"&amp;J$4&amp;ROW()-35))="0",INDIRECT("'"&amp;J$6&amp;"'!"&amp;J$4&amp;ROW()-35)="",NOT(ISNUMBER(INDIRECT("'"&amp;J$6&amp;"'!"&amp;J$4&amp;ROW()-35)))),"-",INDIRECT("'"&amp;J$6&amp;"'!"&amp;J$4&amp;ROW()-35))</f>
        <v>-</v>
      </c>
      <c r="K105" s="120" t="str">
        <f ca="1" t="array" ref="K105">IF(OR(TRIM(INDIRECT("'"&amp;K$6&amp;"'!"&amp;K$4&amp;ROW()-35))="0",INDIRECT("'"&amp;K$6&amp;"'!"&amp;K$4&amp;ROW()-35)="",NOT(ISNUMBER(INDIRECT("'"&amp;K$6&amp;"'!"&amp;K$4&amp;ROW()-35)))),"-",INDIRECT("'"&amp;K$6&amp;"'!"&amp;K$4&amp;ROW()-35))</f>
        <v>-</v>
      </c>
      <c r="L105" s="120" t="str">
        <f ca="1" t="array" ref="L105">IF(OR(TRIM(INDIRECT("'"&amp;L$6&amp;"'!"&amp;L$4&amp;ROW()-35))="0",INDIRECT("'"&amp;L$6&amp;"'!"&amp;L$4&amp;ROW()-35)="",NOT(ISNUMBER(INDIRECT("'"&amp;L$6&amp;"'!"&amp;L$4&amp;ROW()-35)))),"-",INDIRECT("'"&amp;L$6&amp;"'!"&amp;L$4&amp;ROW()-35))</f>
        <v>-</v>
      </c>
      <c r="M105" s="120" t="str">
        <f ca="1" t="array" ref="M105">IF(OR(TRIM(INDIRECT("'"&amp;M$6&amp;"'!"&amp;M$4&amp;ROW()-35))="0",INDIRECT("'"&amp;M$6&amp;"'!"&amp;M$4&amp;ROW()-35)="",NOT(ISNUMBER(INDIRECT("'"&amp;M$6&amp;"'!"&amp;M$4&amp;ROW()-35)))),"-",INDIRECT("'"&amp;M$6&amp;"'!"&amp;M$4&amp;ROW()-35))</f>
        <v>-</v>
      </c>
      <c r="N105" s="31">
        <f ca="1" t="shared" si="31"/>
        <v>0</v>
      </c>
      <c r="O105" s="31">
        <f ca="1" t="shared" si="32"/>
        <v>0</v>
      </c>
    </row>
    <row r="106" s="66" customFormat="1" ht="15" customHeight="1" spans="1:15">
      <c r="A106" s="10" t="str">
        <f>'Section-Category'!A60</f>
        <v>Total CHILDREN</v>
      </c>
      <c r="B106" s="123">
        <f ca="1" t="shared" ref="B106:O106" si="33">SUM(B98:B105)</f>
        <v>0</v>
      </c>
      <c r="C106" s="123">
        <f ca="1" t="shared" si="33"/>
        <v>0</v>
      </c>
      <c r="D106" s="123">
        <f ca="1" t="shared" si="33"/>
        <v>0</v>
      </c>
      <c r="E106" s="123">
        <f ca="1" t="shared" si="33"/>
        <v>0</v>
      </c>
      <c r="F106" s="123">
        <f ca="1" t="shared" si="33"/>
        <v>0</v>
      </c>
      <c r="G106" s="123">
        <f ca="1" t="shared" si="33"/>
        <v>0</v>
      </c>
      <c r="H106" s="123">
        <f ca="1" t="shared" si="33"/>
        <v>0</v>
      </c>
      <c r="I106" s="123">
        <f ca="1" t="shared" si="33"/>
        <v>0</v>
      </c>
      <c r="J106" s="123">
        <f ca="1" t="shared" si="33"/>
        <v>0</v>
      </c>
      <c r="K106" s="123">
        <f ca="1" t="shared" si="33"/>
        <v>0</v>
      </c>
      <c r="L106" s="123">
        <f ca="1" t="shared" si="33"/>
        <v>0</v>
      </c>
      <c r="M106" s="123">
        <f ca="1" t="shared" si="33"/>
        <v>0</v>
      </c>
      <c r="N106" s="39">
        <f ca="1" t="shared" si="33"/>
        <v>0</v>
      </c>
      <c r="O106" s="39">
        <f ca="1" t="shared" si="33"/>
        <v>0</v>
      </c>
    </row>
    <row r="107" s="66" customFormat="1" ht="13.5" customHeight="1" spans="1:15">
      <c r="A107" s="11" t="str">
        <f>'Section-Category'!A61</f>
        <v>% of Total Expenses</v>
      </c>
      <c r="B107" s="124" t="str">
        <f ca="1" t="shared" ref="B107:O107" si="34">IF(B$17=0," - ",B106/B$17)</f>
        <v> - </v>
      </c>
      <c r="C107" s="124" t="str">
        <f ca="1" t="shared" si="34"/>
        <v> - </v>
      </c>
      <c r="D107" s="124" t="str">
        <f ca="1" t="shared" si="34"/>
        <v> - </v>
      </c>
      <c r="E107" s="124" t="str">
        <f ca="1" t="shared" si="34"/>
        <v> - </v>
      </c>
      <c r="F107" s="124" t="str">
        <f ca="1" t="shared" si="34"/>
        <v> - </v>
      </c>
      <c r="G107" s="124" t="str">
        <f ca="1" t="shared" si="34"/>
        <v> - </v>
      </c>
      <c r="H107" s="124" t="str">
        <f ca="1" t="shared" si="34"/>
        <v> - </v>
      </c>
      <c r="I107" s="124" t="str">
        <f ca="1" t="shared" si="34"/>
        <v> - </v>
      </c>
      <c r="J107" s="124" t="str">
        <f ca="1" t="shared" si="34"/>
        <v> - </v>
      </c>
      <c r="K107" s="124" t="str">
        <f ca="1" t="shared" si="34"/>
        <v> - </v>
      </c>
      <c r="L107" s="124" t="str">
        <f ca="1" t="shared" si="34"/>
        <v> - </v>
      </c>
      <c r="M107" s="124" t="str">
        <f ca="1" t="shared" si="34"/>
        <v> - </v>
      </c>
      <c r="N107" s="125" t="str">
        <f ca="1" t="shared" si="34"/>
        <v> - </v>
      </c>
      <c r="O107" s="125" t="str">
        <f ca="1" t="shared" si="34"/>
        <v> - </v>
      </c>
    </row>
    <row r="108" s="28" customFormat="1" ht="13.5" customHeight="1" spans="1:15">
      <c r="A108" s="7"/>
    </row>
    <row r="109" s="62" customFormat="1" spans="1:15">
      <c r="A109" s="12" t="str">
        <f>'Section-Category'!A63</f>
        <v>TRANSPORTATION</v>
      </c>
      <c r="B109" s="40" t="str">
        <f t="shared" ref="B109:M109" si="35">B$6</f>
        <v>Jan</v>
      </c>
      <c r="C109" s="40" t="str">
        <f t="shared" si="35"/>
        <v>Feb</v>
      </c>
      <c r="D109" s="40" t="str">
        <f t="shared" si="35"/>
        <v>Mar</v>
      </c>
      <c r="E109" s="40" t="str">
        <f t="shared" si="35"/>
        <v>Apr</v>
      </c>
      <c r="F109" s="40" t="str">
        <f t="shared" si="35"/>
        <v>May</v>
      </c>
      <c r="G109" s="40" t="str">
        <f t="shared" si="35"/>
        <v>Jun</v>
      </c>
      <c r="H109" s="40" t="str">
        <f t="shared" si="35"/>
        <v>Jul</v>
      </c>
      <c r="I109" s="40" t="str">
        <f t="shared" si="35"/>
        <v>Aug</v>
      </c>
      <c r="J109" s="40" t="str">
        <f t="shared" si="35"/>
        <v>Sep</v>
      </c>
      <c r="K109" s="40" t="str">
        <f t="shared" si="35"/>
        <v>Oct</v>
      </c>
      <c r="L109" s="40" t="str">
        <f t="shared" si="35"/>
        <v>Nov</v>
      </c>
      <c r="M109" s="40" t="str">
        <f t="shared" si="35"/>
        <v>Dec</v>
      </c>
      <c r="N109" s="40" t="s">
        <v>34</v>
      </c>
      <c r="O109" s="40" t="s">
        <v>35</v>
      </c>
    </row>
    <row r="110" s="28" customFormat="1" ht="15" customHeight="1" spans="1:15">
      <c r="A110" s="13" t="str">
        <f>'Section-Category'!A64</f>
        <v>Vehicle Payments</v>
      </c>
      <c r="B110" s="120" t="str">
        <f ca="1" t="array" ref="B110">IF(OR(TRIM(INDIRECT("'"&amp;B$6&amp;"'!"&amp;B$4&amp;ROW()-36))="0",INDIRECT("'"&amp;B$6&amp;"'!"&amp;B$4&amp;ROW()-36)="",NOT(ISNUMBER(INDIRECT("'"&amp;B$6&amp;"'!"&amp;B$4&amp;ROW()-36)))),"-",INDIRECT("'"&amp;B$6&amp;"'!"&amp;B$4&amp;ROW()-36))</f>
        <v>-</v>
      </c>
      <c r="C110" s="120" t="str">
        <f ca="1" t="array" ref="C110">IF(OR(TRIM(INDIRECT("'"&amp;C$6&amp;"'!"&amp;C$4&amp;ROW()-36))="0",INDIRECT("'"&amp;C$6&amp;"'!"&amp;C$4&amp;ROW()-36)="",NOT(ISNUMBER(INDIRECT("'"&amp;C$6&amp;"'!"&amp;C$4&amp;ROW()-36)))),"-",INDIRECT("'"&amp;C$6&amp;"'!"&amp;C$4&amp;ROW()-36))</f>
        <v>-</v>
      </c>
      <c r="D110" s="120" t="str">
        <f ca="1" t="array" ref="D110">IF(OR(TRIM(INDIRECT("'"&amp;D$6&amp;"'!"&amp;D$4&amp;ROW()-36))="0",INDIRECT("'"&amp;D$6&amp;"'!"&amp;D$4&amp;ROW()-36)="",NOT(ISNUMBER(INDIRECT("'"&amp;D$6&amp;"'!"&amp;D$4&amp;ROW()-36)))),"-",INDIRECT("'"&amp;D$6&amp;"'!"&amp;D$4&amp;ROW()-36))</f>
        <v>-</v>
      </c>
      <c r="E110" s="120" t="str">
        <f ca="1" t="array" ref="E110">IF(OR(TRIM(INDIRECT("'"&amp;E$6&amp;"'!"&amp;E$4&amp;ROW()-36))="0",INDIRECT("'"&amp;E$6&amp;"'!"&amp;E$4&amp;ROW()-36)="",NOT(ISNUMBER(INDIRECT("'"&amp;E$6&amp;"'!"&amp;E$4&amp;ROW()-36)))),"-",INDIRECT("'"&amp;E$6&amp;"'!"&amp;E$4&amp;ROW()-36))</f>
        <v>-</v>
      </c>
      <c r="F110" s="120" t="str">
        <f ca="1" t="array" ref="F110">IF(OR(TRIM(INDIRECT("'"&amp;F$6&amp;"'!"&amp;F$4&amp;ROW()-36))="0",INDIRECT("'"&amp;F$6&amp;"'!"&amp;F$4&amp;ROW()-36)="",NOT(ISNUMBER(INDIRECT("'"&amp;F$6&amp;"'!"&amp;F$4&amp;ROW()-36)))),"-",INDIRECT("'"&amp;F$6&amp;"'!"&amp;F$4&amp;ROW()-36))</f>
        <v>-</v>
      </c>
      <c r="G110" s="120" t="str">
        <f ca="1" t="array" ref="G110">IF(OR(TRIM(INDIRECT("'"&amp;G$6&amp;"'!"&amp;G$4&amp;ROW()-36))="0",INDIRECT("'"&amp;G$6&amp;"'!"&amp;G$4&amp;ROW()-36)="",NOT(ISNUMBER(INDIRECT("'"&amp;G$6&amp;"'!"&amp;G$4&amp;ROW()-36)))),"-",INDIRECT("'"&amp;G$6&amp;"'!"&amp;G$4&amp;ROW()-36))</f>
        <v>-</v>
      </c>
      <c r="H110" s="120" t="str">
        <f ca="1" t="array" ref="H110">IF(OR(TRIM(INDIRECT("'"&amp;H$6&amp;"'!"&amp;H$4&amp;ROW()-36))="0",INDIRECT("'"&amp;H$6&amp;"'!"&amp;H$4&amp;ROW()-36)="",NOT(ISNUMBER(INDIRECT("'"&amp;H$6&amp;"'!"&amp;H$4&amp;ROW()-36)))),"-",INDIRECT("'"&amp;H$6&amp;"'!"&amp;H$4&amp;ROW()-36))</f>
        <v>-</v>
      </c>
      <c r="I110" s="120" t="str">
        <f ca="1" t="array" ref="I110">IF(OR(TRIM(INDIRECT("'"&amp;I$6&amp;"'!"&amp;I$4&amp;ROW()-36))="0",INDIRECT("'"&amp;I$6&amp;"'!"&amp;I$4&amp;ROW()-36)="",NOT(ISNUMBER(INDIRECT("'"&amp;I$6&amp;"'!"&amp;I$4&amp;ROW()-36)))),"-",INDIRECT("'"&amp;I$6&amp;"'!"&amp;I$4&amp;ROW()-36))</f>
        <v>-</v>
      </c>
      <c r="J110" s="120" t="str">
        <f ca="1" t="array" ref="J110">IF(OR(TRIM(INDIRECT("'"&amp;J$6&amp;"'!"&amp;J$4&amp;ROW()-36))="0",INDIRECT("'"&amp;J$6&amp;"'!"&amp;J$4&amp;ROW()-36)="",NOT(ISNUMBER(INDIRECT("'"&amp;J$6&amp;"'!"&amp;J$4&amp;ROW()-36)))),"-",INDIRECT("'"&amp;J$6&amp;"'!"&amp;J$4&amp;ROW()-36))</f>
        <v>-</v>
      </c>
      <c r="K110" s="120" t="str">
        <f ca="1" t="array" ref="K110">IF(OR(TRIM(INDIRECT("'"&amp;K$6&amp;"'!"&amp;K$4&amp;ROW()-36))="0",INDIRECT("'"&amp;K$6&amp;"'!"&amp;K$4&amp;ROW()-36)="",NOT(ISNUMBER(INDIRECT("'"&amp;K$6&amp;"'!"&amp;K$4&amp;ROW()-36)))),"-",INDIRECT("'"&amp;K$6&amp;"'!"&amp;K$4&amp;ROW()-36))</f>
        <v>-</v>
      </c>
      <c r="L110" s="120" t="str">
        <f ca="1" t="array" ref="L110">IF(OR(TRIM(INDIRECT("'"&amp;L$6&amp;"'!"&amp;L$4&amp;ROW()-36))="0",INDIRECT("'"&amp;L$6&amp;"'!"&amp;L$4&amp;ROW()-36)="",NOT(ISNUMBER(INDIRECT("'"&amp;L$6&amp;"'!"&amp;L$4&amp;ROW()-36)))),"-",INDIRECT("'"&amp;L$6&amp;"'!"&amp;L$4&amp;ROW()-36))</f>
        <v>-</v>
      </c>
      <c r="M110" s="120" t="str">
        <f ca="1" t="array" ref="M110">IF(OR(TRIM(INDIRECT("'"&amp;M$6&amp;"'!"&amp;M$4&amp;ROW()-36))="0",INDIRECT("'"&amp;M$6&amp;"'!"&amp;M$4&amp;ROW()-36)="",NOT(ISNUMBER(INDIRECT("'"&amp;M$6&amp;"'!"&amp;M$4&amp;ROW()-36)))),"-",INDIRECT("'"&amp;M$6&amp;"'!"&amp;M$4&amp;ROW()-36))</f>
        <v>-</v>
      </c>
      <c r="N110" s="31">
        <f ca="1" t="shared" ref="N110:N115" si="36">SUM(B110:M110)</f>
        <v>0</v>
      </c>
      <c r="O110" s="31">
        <f ca="1" t="shared" ref="O110:O115" si="37">N110/COLUMNS(B110:M110)</f>
        <v>0</v>
      </c>
    </row>
    <row r="111" s="28" customFormat="1" ht="15" customHeight="1" spans="1:15">
      <c r="A111" s="13" t="str">
        <f>'Section-Category'!A65</f>
        <v>Fuel</v>
      </c>
      <c r="B111" s="120" t="str">
        <f ca="1" t="array" ref="B111">IF(OR(TRIM(INDIRECT("'"&amp;B$6&amp;"'!"&amp;B$4&amp;ROW()-36))="0",INDIRECT("'"&amp;B$6&amp;"'!"&amp;B$4&amp;ROW()-36)="",NOT(ISNUMBER(INDIRECT("'"&amp;B$6&amp;"'!"&amp;B$4&amp;ROW()-36)))),"-",INDIRECT("'"&amp;B$6&amp;"'!"&amp;B$4&amp;ROW()-36))</f>
        <v>-</v>
      </c>
      <c r="C111" s="120" t="str">
        <f ca="1" t="array" ref="C111">IF(OR(TRIM(INDIRECT("'"&amp;C$6&amp;"'!"&amp;C$4&amp;ROW()-36))="0",INDIRECT("'"&amp;C$6&amp;"'!"&amp;C$4&amp;ROW()-36)="",NOT(ISNUMBER(INDIRECT("'"&amp;C$6&amp;"'!"&amp;C$4&amp;ROW()-36)))),"-",INDIRECT("'"&amp;C$6&amp;"'!"&amp;C$4&amp;ROW()-36))</f>
        <v>-</v>
      </c>
      <c r="D111" s="120" t="str">
        <f ca="1" t="array" ref="D111">IF(OR(TRIM(INDIRECT("'"&amp;D$6&amp;"'!"&amp;D$4&amp;ROW()-36))="0",INDIRECT("'"&amp;D$6&amp;"'!"&amp;D$4&amp;ROW()-36)="",NOT(ISNUMBER(INDIRECT("'"&amp;D$6&amp;"'!"&amp;D$4&amp;ROW()-36)))),"-",INDIRECT("'"&amp;D$6&amp;"'!"&amp;D$4&amp;ROW()-36))</f>
        <v>-</v>
      </c>
      <c r="E111" s="120" t="str">
        <f ca="1" t="array" ref="E111">IF(OR(TRIM(INDIRECT("'"&amp;E$6&amp;"'!"&amp;E$4&amp;ROW()-36))="0",INDIRECT("'"&amp;E$6&amp;"'!"&amp;E$4&amp;ROW()-36)="",NOT(ISNUMBER(INDIRECT("'"&amp;E$6&amp;"'!"&amp;E$4&amp;ROW()-36)))),"-",INDIRECT("'"&amp;E$6&amp;"'!"&amp;E$4&amp;ROW()-36))</f>
        <v>-</v>
      </c>
      <c r="F111" s="120" t="str">
        <f ca="1" t="array" ref="F111">IF(OR(TRIM(INDIRECT("'"&amp;F$6&amp;"'!"&amp;F$4&amp;ROW()-36))="0",INDIRECT("'"&amp;F$6&amp;"'!"&amp;F$4&amp;ROW()-36)="",NOT(ISNUMBER(INDIRECT("'"&amp;F$6&amp;"'!"&amp;F$4&amp;ROW()-36)))),"-",INDIRECT("'"&amp;F$6&amp;"'!"&amp;F$4&amp;ROW()-36))</f>
        <v>-</v>
      </c>
      <c r="G111" s="120" t="str">
        <f ca="1" t="array" ref="G111">IF(OR(TRIM(INDIRECT("'"&amp;G$6&amp;"'!"&amp;G$4&amp;ROW()-36))="0",INDIRECT("'"&amp;G$6&amp;"'!"&amp;G$4&amp;ROW()-36)="",NOT(ISNUMBER(INDIRECT("'"&amp;G$6&amp;"'!"&amp;G$4&amp;ROW()-36)))),"-",INDIRECT("'"&amp;G$6&amp;"'!"&amp;G$4&amp;ROW()-36))</f>
        <v>-</v>
      </c>
      <c r="H111" s="120" t="str">
        <f ca="1" t="array" ref="H111">IF(OR(TRIM(INDIRECT("'"&amp;H$6&amp;"'!"&amp;H$4&amp;ROW()-36))="0",INDIRECT("'"&amp;H$6&amp;"'!"&amp;H$4&amp;ROW()-36)="",NOT(ISNUMBER(INDIRECT("'"&amp;H$6&amp;"'!"&amp;H$4&amp;ROW()-36)))),"-",INDIRECT("'"&amp;H$6&amp;"'!"&amp;H$4&amp;ROW()-36))</f>
        <v>-</v>
      </c>
      <c r="I111" s="120" t="str">
        <f ca="1" t="array" ref="I111">IF(OR(TRIM(INDIRECT("'"&amp;I$6&amp;"'!"&amp;I$4&amp;ROW()-36))="0",INDIRECT("'"&amp;I$6&amp;"'!"&amp;I$4&amp;ROW()-36)="",NOT(ISNUMBER(INDIRECT("'"&amp;I$6&amp;"'!"&amp;I$4&amp;ROW()-36)))),"-",INDIRECT("'"&amp;I$6&amp;"'!"&amp;I$4&amp;ROW()-36))</f>
        <v>-</v>
      </c>
      <c r="J111" s="120" t="str">
        <f ca="1" t="array" ref="J111">IF(OR(TRIM(INDIRECT("'"&amp;J$6&amp;"'!"&amp;J$4&amp;ROW()-36))="0",INDIRECT("'"&amp;J$6&amp;"'!"&amp;J$4&amp;ROW()-36)="",NOT(ISNUMBER(INDIRECT("'"&amp;J$6&amp;"'!"&amp;J$4&amp;ROW()-36)))),"-",INDIRECT("'"&amp;J$6&amp;"'!"&amp;J$4&amp;ROW()-36))</f>
        <v>-</v>
      </c>
      <c r="K111" s="120" t="str">
        <f ca="1" t="array" ref="K111">IF(OR(TRIM(INDIRECT("'"&amp;K$6&amp;"'!"&amp;K$4&amp;ROW()-36))="0",INDIRECT("'"&amp;K$6&amp;"'!"&amp;K$4&amp;ROW()-36)="",NOT(ISNUMBER(INDIRECT("'"&amp;K$6&amp;"'!"&amp;K$4&amp;ROW()-36)))),"-",INDIRECT("'"&amp;K$6&amp;"'!"&amp;K$4&amp;ROW()-36))</f>
        <v>-</v>
      </c>
      <c r="L111" s="120" t="str">
        <f ca="1" t="array" ref="L111">IF(OR(TRIM(INDIRECT("'"&amp;L$6&amp;"'!"&amp;L$4&amp;ROW()-36))="0",INDIRECT("'"&amp;L$6&amp;"'!"&amp;L$4&amp;ROW()-36)="",NOT(ISNUMBER(INDIRECT("'"&amp;L$6&amp;"'!"&amp;L$4&amp;ROW()-36)))),"-",INDIRECT("'"&amp;L$6&amp;"'!"&amp;L$4&amp;ROW()-36))</f>
        <v>-</v>
      </c>
      <c r="M111" s="120" t="str">
        <f ca="1" t="array" ref="M111">IF(OR(TRIM(INDIRECT("'"&amp;M$6&amp;"'!"&amp;M$4&amp;ROW()-36))="0",INDIRECT("'"&amp;M$6&amp;"'!"&amp;M$4&amp;ROW()-36)="",NOT(ISNUMBER(INDIRECT("'"&amp;M$6&amp;"'!"&amp;M$4&amp;ROW()-36)))),"-",INDIRECT("'"&amp;M$6&amp;"'!"&amp;M$4&amp;ROW()-36))</f>
        <v>-</v>
      </c>
      <c r="N111" s="31">
        <f ca="1" t="shared" si="36"/>
        <v>0</v>
      </c>
      <c r="O111" s="31">
        <f ca="1" t="shared" si="37"/>
        <v>0</v>
      </c>
    </row>
    <row r="112" s="28" customFormat="1" ht="15" customHeight="1" spans="1:15">
      <c r="A112" s="13" t="str">
        <f>'Section-Category'!A66</f>
        <v>Bus/Taxi/Train Fare</v>
      </c>
      <c r="B112" s="120" t="str">
        <f ca="1" t="array" ref="B112">IF(OR(TRIM(INDIRECT("'"&amp;B$6&amp;"'!"&amp;B$4&amp;ROW()-36))="0",INDIRECT("'"&amp;B$6&amp;"'!"&amp;B$4&amp;ROW()-36)="",NOT(ISNUMBER(INDIRECT("'"&amp;B$6&amp;"'!"&amp;B$4&amp;ROW()-36)))),"-",INDIRECT("'"&amp;B$6&amp;"'!"&amp;B$4&amp;ROW()-36))</f>
        <v>-</v>
      </c>
      <c r="C112" s="120" t="str">
        <f ca="1" t="array" ref="C112">IF(OR(TRIM(INDIRECT("'"&amp;C$6&amp;"'!"&amp;C$4&amp;ROW()-36))="0",INDIRECT("'"&amp;C$6&amp;"'!"&amp;C$4&amp;ROW()-36)="",NOT(ISNUMBER(INDIRECT("'"&amp;C$6&amp;"'!"&amp;C$4&amp;ROW()-36)))),"-",INDIRECT("'"&amp;C$6&amp;"'!"&amp;C$4&amp;ROW()-36))</f>
        <v>-</v>
      </c>
      <c r="D112" s="120" t="str">
        <f ca="1" t="array" ref="D112">IF(OR(TRIM(INDIRECT("'"&amp;D$6&amp;"'!"&amp;D$4&amp;ROW()-36))="0",INDIRECT("'"&amp;D$6&amp;"'!"&amp;D$4&amp;ROW()-36)="",NOT(ISNUMBER(INDIRECT("'"&amp;D$6&amp;"'!"&amp;D$4&amp;ROW()-36)))),"-",INDIRECT("'"&amp;D$6&amp;"'!"&amp;D$4&amp;ROW()-36))</f>
        <v>-</v>
      </c>
      <c r="E112" s="120" t="str">
        <f ca="1" t="array" ref="E112">IF(OR(TRIM(INDIRECT("'"&amp;E$6&amp;"'!"&amp;E$4&amp;ROW()-36))="0",INDIRECT("'"&amp;E$6&amp;"'!"&amp;E$4&amp;ROW()-36)="",NOT(ISNUMBER(INDIRECT("'"&amp;E$6&amp;"'!"&amp;E$4&amp;ROW()-36)))),"-",INDIRECT("'"&amp;E$6&amp;"'!"&amp;E$4&amp;ROW()-36))</f>
        <v>-</v>
      </c>
      <c r="F112" s="120" t="str">
        <f ca="1" t="array" ref="F112">IF(OR(TRIM(INDIRECT("'"&amp;F$6&amp;"'!"&amp;F$4&amp;ROW()-36))="0",INDIRECT("'"&amp;F$6&amp;"'!"&amp;F$4&amp;ROW()-36)="",NOT(ISNUMBER(INDIRECT("'"&amp;F$6&amp;"'!"&amp;F$4&amp;ROW()-36)))),"-",INDIRECT("'"&amp;F$6&amp;"'!"&amp;F$4&amp;ROW()-36))</f>
        <v>-</v>
      </c>
      <c r="G112" s="120" t="str">
        <f ca="1" t="array" ref="G112">IF(OR(TRIM(INDIRECT("'"&amp;G$6&amp;"'!"&amp;G$4&amp;ROW()-36))="0",INDIRECT("'"&amp;G$6&amp;"'!"&amp;G$4&amp;ROW()-36)="",NOT(ISNUMBER(INDIRECT("'"&amp;G$6&amp;"'!"&amp;G$4&amp;ROW()-36)))),"-",INDIRECT("'"&amp;G$6&amp;"'!"&amp;G$4&amp;ROW()-36))</f>
        <v>-</v>
      </c>
      <c r="H112" s="120" t="str">
        <f ca="1" t="array" ref="H112">IF(OR(TRIM(INDIRECT("'"&amp;H$6&amp;"'!"&amp;H$4&amp;ROW()-36))="0",INDIRECT("'"&amp;H$6&amp;"'!"&amp;H$4&amp;ROW()-36)="",NOT(ISNUMBER(INDIRECT("'"&amp;H$6&amp;"'!"&amp;H$4&amp;ROW()-36)))),"-",INDIRECT("'"&amp;H$6&amp;"'!"&amp;H$4&amp;ROW()-36))</f>
        <v>-</v>
      </c>
      <c r="I112" s="120" t="str">
        <f ca="1" t="array" ref="I112">IF(OR(TRIM(INDIRECT("'"&amp;I$6&amp;"'!"&amp;I$4&amp;ROW()-36))="0",INDIRECT("'"&amp;I$6&amp;"'!"&amp;I$4&amp;ROW()-36)="",NOT(ISNUMBER(INDIRECT("'"&amp;I$6&amp;"'!"&amp;I$4&amp;ROW()-36)))),"-",INDIRECT("'"&amp;I$6&amp;"'!"&amp;I$4&amp;ROW()-36))</f>
        <v>-</v>
      </c>
      <c r="J112" s="120" t="str">
        <f ca="1" t="array" ref="J112">IF(OR(TRIM(INDIRECT("'"&amp;J$6&amp;"'!"&amp;J$4&amp;ROW()-36))="0",INDIRECT("'"&amp;J$6&amp;"'!"&amp;J$4&amp;ROW()-36)="",NOT(ISNUMBER(INDIRECT("'"&amp;J$6&amp;"'!"&amp;J$4&amp;ROW()-36)))),"-",INDIRECT("'"&amp;J$6&amp;"'!"&amp;J$4&amp;ROW()-36))</f>
        <v>-</v>
      </c>
      <c r="K112" s="120" t="str">
        <f ca="1" t="array" ref="K112">IF(OR(TRIM(INDIRECT("'"&amp;K$6&amp;"'!"&amp;K$4&amp;ROW()-36))="0",INDIRECT("'"&amp;K$6&amp;"'!"&amp;K$4&amp;ROW()-36)="",NOT(ISNUMBER(INDIRECT("'"&amp;K$6&amp;"'!"&amp;K$4&amp;ROW()-36)))),"-",INDIRECT("'"&amp;K$6&amp;"'!"&amp;K$4&amp;ROW()-36))</f>
        <v>-</v>
      </c>
      <c r="L112" s="120" t="str">
        <f ca="1" t="array" ref="L112">IF(OR(TRIM(INDIRECT("'"&amp;L$6&amp;"'!"&amp;L$4&amp;ROW()-36))="0",INDIRECT("'"&amp;L$6&amp;"'!"&amp;L$4&amp;ROW()-36)="",NOT(ISNUMBER(INDIRECT("'"&amp;L$6&amp;"'!"&amp;L$4&amp;ROW()-36)))),"-",INDIRECT("'"&amp;L$6&amp;"'!"&amp;L$4&amp;ROW()-36))</f>
        <v>-</v>
      </c>
      <c r="M112" s="120" t="str">
        <f ca="1" t="array" ref="M112">IF(OR(TRIM(INDIRECT("'"&amp;M$6&amp;"'!"&amp;M$4&amp;ROW()-36))="0",INDIRECT("'"&amp;M$6&amp;"'!"&amp;M$4&amp;ROW()-36)="",NOT(ISNUMBER(INDIRECT("'"&amp;M$6&amp;"'!"&amp;M$4&amp;ROW()-36)))),"-",INDIRECT("'"&amp;M$6&amp;"'!"&amp;M$4&amp;ROW()-36))</f>
        <v>-</v>
      </c>
      <c r="N112" s="31">
        <f ca="1" t="shared" si="36"/>
        <v>0</v>
      </c>
      <c r="O112" s="31">
        <f ca="1" t="shared" si="37"/>
        <v>0</v>
      </c>
    </row>
    <row r="113" s="28" customFormat="1" ht="15" customHeight="1" spans="1:15">
      <c r="A113" s="13" t="str">
        <f>'Section-Category'!A67</f>
        <v>Repairs</v>
      </c>
      <c r="B113" s="120" t="str">
        <f ca="1" t="array" ref="B113">IF(OR(TRIM(INDIRECT("'"&amp;B$6&amp;"'!"&amp;B$4&amp;ROW()-36))="0",INDIRECT("'"&amp;B$6&amp;"'!"&amp;B$4&amp;ROW()-36)="",NOT(ISNUMBER(INDIRECT("'"&amp;B$6&amp;"'!"&amp;B$4&amp;ROW()-36)))),"-",INDIRECT("'"&amp;B$6&amp;"'!"&amp;B$4&amp;ROW()-36))</f>
        <v>-</v>
      </c>
      <c r="C113" s="120" t="str">
        <f ca="1" t="array" ref="C113">IF(OR(TRIM(INDIRECT("'"&amp;C$6&amp;"'!"&amp;C$4&amp;ROW()-36))="0",INDIRECT("'"&amp;C$6&amp;"'!"&amp;C$4&amp;ROW()-36)="",NOT(ISNUMBER(INDIRECT("'"&amp;C$6&amp;"'!"&amp;C$4&amp;ROW()-36)))),"-",INDIRECT("'"&amp;C$6&amp;"'!"&amp;C$4&amp;ROW()-36))</f>
        <v>-</v>
      </c>
      <c r="D113" s="120" t="str">
        <f ca="1" t="array" ref="D113">IF(OR(TRIM(INDIRECT("'"&amp;D$6&amp;"'!"&amp;D$4&amp;ROW()-36))="0",INDIRECT("'"&amp;D$6&amp;"'!"&amp;D$4&amp;ROW()-36)="",NOT(ISNUMBER(INDIRECT("'"&amp;D$6&amp;"'!"&amp;D$4&amp;ROW()-36)))),"-",INDIRECT("'"&amp;D$6&amp;"'!"&amp;D$4&amp;ROW()-36))</f>
        <v>-</v>
      </c>
      <c r="E113" s="120" t="str">
        <f ca="1" t="array" ref="E113">IF(OR(TRIM(INDIRECT("'"&amp;E$6&amp;"'!"&amp;E$4&amp;ROW()-36))="0",INDIRECT("'"&amp;E$6&amp;"'!"&amp;E$4&amp;ROW()-36)="",NOT(ISNUMBER(INDIRECT("'"&amp;E$6&amp;"'!"&amp;E$4&amp;ROW()-36)))),"-",INDIRECT("'"&amp;E$6&amp;"'!"&amp;E$4&amp;ROW()-36))</f>
        <v>-</v>
      </c>
      <c r="F113" s="120" t="str">
        <f ca="1" t="array" ref="F113">IF(OR(TRIM(INDIRECT("'"&amp;F$6&amp;"'!"&amp;F$4&amp;ROW()-36))="0",INDIRECT("'"&amp;F$6&amp;"'!"&amp;F$4&amp;ROW()-36)="",NOT(ISNUMBER(INDIRECT("'"&amp;F$6&amp;"'!"&amp;F$4&amp;ROW()-36)))),"-",INDIRECT("'"&amp;F$6&amp;"'!"&amp;F$4&amp;ROW()-36))</f>
        <v>-</v>
      </c>
      <c r="G113" s="120" t="str">
        <f ca="1" t="array" ref="G113">IF(OR(TRIM(INDIRECT("'"&amp;G$6&amp;"'!"&amp;G$4&amp;ROW()-36))="0",INDIRECT("'"&amp;G$6&amp;"'!"&amp;G$4&amp;ROW()-36)="",NOT(ISNUMBER(INDIRECT("'"&amp;G$6&amp;"'!"&amp;G$4&amp;ROW()-36)))),"-",INDIRECT("'"&amp;G$6&amp;"'!"&amp;G$4&amp;ROW()-36))</f>
        <v>-</v>
      </c>
      <c r="H113" s="120" t="str">
        <f ca="1" t="array" ref="H113">IF(OR(TRIM(INDIRECT("'"&amp;H$6&amp;"'!"&amp;H$4&amp;ROW()-36))="0",INDIRECT("'"&amp;H$6&amp;"'!"&amp;H$4&amp;ROW()-36)="",NOT(ISNUMBER(INDIRECT("'"&amp;H$6&amp;"'!"&amp;H$4&amp;ROW()-36)))),"-",INDIRECT("'"&amp;H$6&amp;"'!"&amp;H$4&amp;ROW()-36))</f>
        <v>-</v>
      </c>
      <c r="I113" s="120" t="str">
        <f ca="1" t="array" ref="I113">IF(OR(TRIM(INDIRECT("'"&amp;I$6&amp;"'!"&amp;I$4&amp;ROW()-36))="0",INDIRECT("'"&amp;I$6&amp;"'!"&amp;I$4&amp;ROW()-36)="",NOT(ISNUMBER(INDIRECT("'"&amp;I$6&amp;"'!"&amp;I$4&amp;ROW()-36)))),"-",INDIRECT("'"&amp;I$6&amp;"'!"&amp;I$4&amp;ROW()-36))</f>
        <v>-</v>
      </c>
      <c r="J113" s="120" t="str">
        <f ca="1" t="array" ref="J113">IF(OR(TRIM(INDIRECT("'"&amp;J$6&amp;"'!"&amp;J$4&amp;ROW()-36))="0",INDIRECT("'"&amp;J$6&amp;"'!"&amp;J$4&amp;ROW()-36)="",NOT(ISNUMBER(INDIRECT("'"&amp;J$6&amp;"'!"&amp;J$4&amp;ROW()-36)))),"-",INDIRECT("'"&amp;J$6&amp;"'!"&amp;J$4&amp;ROW()-36))</f>
        <v>-</v>
      </c>
      <c r="K113" s="120" t="str">
        <f ca="1" t="array" ref="K113">IF(OR(TRIM(INDIRECT("'"&amp;K$6&amp;"'!"&amp;K$4&amp;ROW()-36))="0",INDIRECT("'"&amp;K$6&amp;"'!"&amp;K$4&amp;ROW()-36)="",NOT(ISNUMBER(INDIRECT("'"&amp;K$6&amp;"'!"&amp;K$4&amp;ROW()-36)))),"-",INDIRECT("'"&amp;K$6&amp;"'!"&amp;K$4&amp;ROW()-36))</f>
        <v>-</v>
      </c>
      <c r="L113" s="120" t="str">
        <f ca="1" t="array" ref="L113">IF(OR(TRIM(INDIRECT("'"&amp;L$6&amp;"'!"&amp;L$4&amp;ROW()-36))="0",INDIRECT("'"&amp;L$6&amp;"'!"&amp;L$4&amp;ROW()-36)="",NOT(ISNUMBER(INDIRECT("'"&amp;L$6&amp;"'!"&amp;L$4&amp;ROW()-36)))),"-",INDIRECT("'"&amp;L$6&amp;"'!"&amp;L$4&amp;ROW()-36))</f>
        <v>-</v>
      </c>
      <c r="M113" s="120" t="str">
        <f ca="1" t="array" ref="M113">IF(OR(TRIM(INDIRECT("'"&amp;M$6&amp;"'!"&amp;M$4&amp;ROW()-36))="0",INDIRECT("'"&amp;M$6&amp;"'!"&amp;M$4&amp;ROW()-36)="",NOT(ISNUMBER(INDIRECT("'"&amp;M$6&amp;"'!"&amp;M$4&amp;ROW()-36)))),"-",INDIRECT("'"&amp;M$6&amp;"'!"&amp;M$4&amp;ROW()-36))</f>
        <v>-</v>
      </c>
      <c r="N113" s="31">
        <f ca="1" t="shared" si="36"/>
        <v>0</v>
      </c>
      <c r="O113" s="31">
        <f ca="1" t="shared" si="37"/>
        <v>0</v>
      </c>
    </row>
    <row r="114" s="28" customFormat="1" ht="15" customHeight="1" spans="1:15">
      <c r="A114" s="13" t="str">
        <f>'Section-Category'!A68</f>
        <v>Registration/License</v>
      </c>
      <c r="B114" s="120" t="str">
        <f ca="1" t="array" ref="B114">IF(OR(TRIM(INDIRECT("'"&amp;B$6&amp;"'!"&amp;B$4&amp;ROW()-36))="0",INDIRECT("'"&amp;B$6&amp;"'!"&amp;B$4&amp;ROW()-36)="",NOT(ISNUMBER(INDIRECT("'"&amp;B$6&amp;"'!"&amp;B$4&amp;ROW()-36)))),"-",INDIRECT("'"&amp;B$6&amp;"'!"&amp;B$4&amp;ROW()-36))</f>
        <v>-</v>
      </c>
      <c r="C114" s="120" t="str">
        <f ca="1" t="array" ref="C114">IF(OR(TRIM(INDIRECT("'"&amp;C$6&amp;"'!"&amp;C$4&amp;ROW()-36))="0",INDIRECT("'"&amp;C$6&amp;"'!"&amp;C$4&amp;ROW()-36)="",NOT(ISNUMBER(INDIRECT("'"&amp;C$6&amp;"'!"&amp;C$4&amp;ROW()-36)))),"-",INDIRECT("'"&amp;C$6&amp;"'!"&amp;C$4&amp;ROW()-36))</f>
        <v>-</v>
      </c>
      <c r="D114" s="120" t="str">
        <f ca="1" t="array" ref="D114">IF(OR(TRIM(INDIRECT("'"&amp;D$6&amp;"'!"&amp;D$4&amp;ROW()-36))="0",INDIRECT("'"&amp;D$6&amp;"'!"&amp;D$4&amp;ROW()-36)="",NOT(ISNUMBER(INDIRECT("'"&amp;D$6&amp;"'!"&amp;D$4&amp;ROW()-36)))),"-",INDIRECT("'"&amp;D$6&amp;"'!"&amp;D$4&amp;ROW()-36))</f>
        <v>-</v>
      </c>
      <c r="E114" s="120" t="str">
        <f ca="1" t="array" ref="E114">IF(OR(TRIM(INDIRECT("'"&amp;E$6&amp;"'!"&amp;E$4&amp;ROW()-36))="0",INDIRECT("'"&amp;E$6&amp;"'!"&amp;E$4&amp;ROW()-36)="",NOT(ISNUMBER(INDIRECT("'"&amp;E$6&amp;"'!"&amp;E$4&amp;ROW()-36)))),"-",INDIRECT("'"&amp;E$6&amp;"'!"&amp;E$4&amp;ROW()-36))</f>
        <v>-</v>
      </c>
      <c r="F114" s="120" t="str">
        <f ca="1" t="array" ref="F114">IF(OR(TRIM(INDIRECT("'"&amp;F$6&amp;"'!"&amp;F$4&amp;ROW()-36))="0",INDIRECT("'"&amp;F$6&amp;"'!"&amp;F$4&amp;ROW()-36)="",NOT(ISNUMBER(INDIRECT("'"&amp;F$6&amp;"'!"&amp;F$4&amp;ROW()-36)))),"-",INDIRECT("'"&amp;F$6&amp;"'!"&amp;F$4&amp;ROW()-36))</f>
        <v>-</v>
      </c>
      <c r="G114" s="120" t="str">
        <f ca="1" t="array" ref="G114">IF(OR(TRIM(INDIRECT("'"&amp;G$6&amp;"'!"&amp;G$4&amp;ROW()-36))="0",INDIRECT("'"&amp;G$6&amp;"'!"&amp;G$4&amp;ROW()-36)="",NOT(ISNUMBER(INDIRECT("'"&amp;G$6&amp;"'!"&amp;G$4&amp;ROW()-36)))),"-",INDIRECT("'"&amp;G$6&amp;"'!"&amp;G$4&amp;ROW()-36))</f>
        <v>-</v>
      </c>
      <c r="H114" s="120" t="str">
        <f ca="1" t="array" ref="H114">IF(OR(TRIM(INDIRECT("'"&amp;H$6&amp;"'!"&amp;H$4&amp;ROW()-36))="0",INDIRECT("'"&amp;H$6&amp;"'!"&amp;H$4&amp;ROW()-36)="",NOT(ISNUMBER(INDIRECT("'"&amp;H$6&amp;"'!"&amp;H$4&amp;ROW()-36)))),"-",INDIRECT("'"&amp;H$6&amp;"'!"&amp;H$4&amp;ROW()-36))</f>
        <v>-</v>
      </c>
      <c r="I114" s="120" t="str">
        <f ca="1" t="array" ref="I114">IF(OR(TRIM(INDIRECT("'"&amp;I$6&amp;"'!"&amp;I$4&amp;ROW()-36))="0",INDIRECT("'"&amp;I$6&amp;"'!"&amp;I$4&amp;ROW()-36)="",NOT(ISNUMBER(INDIRECT("'"&amp;I$6&amp;"'!"&amp;I$4&amp;ROW()-36)))),"-",INDIRECT("'"&amp;I$6&amp;"'!"&amp;I$4&amp;ROW()-36))</f>
        <v>-</v>
      </c>
      <c r="J114" s="120" t="str">
        <f ca="1" t="array" ref="J114">IF(OR(TRIM(INDIRECT("'"&amp;J$6&amp;"'!"&amp;J$4&amp;ROW()-36))="0",INDIRECT("'"&amp;J$6&amp;"'!"&amp;J$4&amp;ROW()-36)="",NOT(ISNUMBER(INDIRECT("'"&amp;J$6&amp;"'!"&amp;J$4&amp;ROW()-36)))),"-",INDIRECT("'"&amp;J$6&amp;"'!"&amp;J$4&amp;ROW()-36))</f>
        <v>-</v>
      </c>
      <c r="K114" s="120" t="str">
        <f ca="1" t="array" ref="K114">IF(OR(TRIM(INDIRECT("'"&amp;K$6&amp;"'!"&amp;K$4&amp;ROW()-36))="0",INDIRECT("'"&amp;K$6&amp;"'!"&amp;K$4&amp;ROW()-36)="",NOT(ISNUMBER(INDIRECT("'"&amp;K$6&amp;"'!"&amp;K$4&amp;ROW()-36)))),"-",INDIRECT("'"&amp;K$6&amp;"'!"&amp;K$4&amp;ROW()-36))</f>
        <v>-</v>
      </c>
      <c r="L114" s="120" t="str">
        <f ca="1" t="array" ref="L114">IF(OR(TRIM(INDIRECT("'"&amp;L$6&amp;"'!"&amp;L$4&amp;ROW()-36))="0",INDIRECT("'"&amp;L$6&amp;"'!"&amp;L$4&amp;ROW()-36)="",NOT(ISNUMBER(INDIRECT("'"&amp;L$6&amp;"'!"&amp;L$4&amp;ROW()-36)))),"-",INDIRECT("'"&amp;L$6&amp;"'!"&amp;L$4&amp;ROW()-36))</f>
        <v>-</v>
      </c>
      <c r="M114" s="120" t="str">
        <f ca="1" t="array" ref="M114">IF(OR(TRIM(INDIRECT("'"&amp;M$6&amp;"'!"&amp;M$4&amp;ROW()-36))="0",INDIRECT("'"&amp;M$6&amp;"'!"&amp;M$4&amp;ROW()-36)="",NOT(ISNUMBER(INDIRECT("'"&amp;M$6&amp;"'!"&amp;M$4&amp;ROW()-36)))),"-",INDIRECT("'"&amp;M$6&amp;"'!"&amp;M$4&amp;ROW()-36))</f>
        <v>-</v>
      </c>
      <c r="N114" s="31">
        <f ca="1" t="shared" si="36"/>
        <v>0</v>
      </c>
      <c r="O114" s="31">
        <f ca="1" t="shared" si="37"/>
        <v>0</v>
      </c>
    </row>
    <row r="115" s="28" customFormat="1" ht="15.75" customHeight="1" spans="1:15">
      <c r="A115" s="13" t="str">
        <f>'Section-Category'!A69</f>
        <v>Other</v>
      </c>
      <c r="B115" s="120" t="str">
        <f ca="1" t="array" ref="B115">IF(OR(TRIM(INDIRECT("'"&amp;B$6&amp;"'!"&amp;B$4&amp;ROW()-36))="0",INDIRECT("'"&amp;B$6&amp;"'!"&amp;B$4&amp;ROW()-36)="",NOT(ISNUMBER(INDIRECT("'"&amp;B$6&amp;"'!"&amp;B$4&amp;ROW()-36)))),"-",INDIRECT("'"&amp;B$6&amp;"'!"&amp;B$4&amp;ROW()-36))</f>
        <v>-</v>
      </c>
      <c r="C115" s="120" t="str">
        <f ca="1" t="array" ref="C115">IF(OR(TRIM(INDIRECT("'"&amp;C$6&amp;"'!"&amp;C$4&amp;ROW()-36))="0",INDIRECT("'"&amp;C$6&amp;"'!"&amp;C$4&amp;ROW()-36)="",NOT(ISNUMBER(INDIRECT("'"&amp;C$6&amp;"'!"&amp;C$4&amp;ROW()-36)))),"-",INDIRECT("'"&amp;C$6&amp;"'!"&amp;C$4&amp;ROW()-36))</f>
        <v>-</v>
      </c>
      <c r="D115" s="120" t="str">
        <f ca="1" t="array" ref="D115">IF(OR(TRIM(INDIRECT("'"&amp;D$6&amp;"'!"&amp;D$4&amp;ROW()-36))="0",INDIRECT("'"&amp;D$6&amp;"'!"&amp;D$4&amp;ROW()-36)="",NOT(ISNUMBER(INDIRECT("'"&amp;D$6&amp;"'!"&amp;D$4&amp;ROW()-36)))),"-",INDIRECT("'"&amp;D$6&amp;"'!"&amp;D$4&amp;ROW()-36))</f>
        <v>-</v>
      </c>
      <c r="E115" s="120" t="str">
        <f ca="1" t="array" ref="E115">IF(OR(TRIM(INDIRECT("'"&amp;E$6&amp;"'!"&amp;E$4&amp;ROW()-36))="0",INDIRECT("'"&amp;E$6&amp;"'!"&amp;E$4&amp;ROW()-36)="",NOT(ISNUMBER(INDIRECT("'"&amp;E$6&amp;"'!"&amp;E$4&amp;ROW()-36)))),"-",INDIRECT("'"&amp;E$6&amp;"'!"&amp;E$4&amp;ROW()-36))</f>
        <v>-</v>
      </c>
      <c r="F115" s="120" t="str">
        <f ca="1" t="array" ref="F115">IF(OR(TRIM(INDIRECT("'"&amp;F$6&amp;"'!"&amp;F$4&amp;ROW()-36))="0",INDIRECT("'"&amp;F$6&amp;"'!"&amp;F$4&amp;ROW()-36)="",NOT(ISNUMBER(INDIRECT("'"&amp;F$6&amp;"'!"&amp;F$4&amp;ROW()-36)))),"-",INDIRECT("'"&amp;F$6&amp;"'!"&amp;F$4&amp;ROW()-36))</f>
        <v>-</v>
      </c>
      <c r="G115" s="120" t="str">
        <f ca="1" t="array" ref="G115">IF(OR(TRIM(INDIRECT("'"&amp;G$6&amp;"'!"&amp;G$4&amp;ROW()-36))="0",INDIRECT("'"&amp;G$6&amp;"'!"&amp;G$4&amp;ROW()-36)="",NOT(ISNUMBER(INDIRECT("'"&amp;G$6&amp;"'!"&amp;G$4&amp;ROW()-36)))),"-",INDIRECT("'"&amp;G$6&amp;"'!"&amp;G$4&amp;ROW()-36))</f>
        <v>-</v>
      </c>
      <c r="H115" s="120" t="str">
        <f ca="1" t="array" ref="H115">IF(OR(TRIM(INDIRECT("'"&amp;H$6&amp;"'!"&amp;H$4&amp;ROW()-36))="0",INDIRECT("'"&amp;H$6&amp;"'!"&amp;H$4&amp;ROW()-36)="",NOT(ISNUMBER(INDIRECT("'"&amp;H$6&amp;"'!"&amp;H$4&amp;ROW()-36)))),"-",INDIRECT("'"&amp;H$6&amp;"'!"&amp;H$4&amp;ROW()-36))</f>
        <v>-</v>
      </c>
      <c r="I115" s="120" t="str">
        <f ca="1" t="array" ref="I115">IF(OR(TRIM(INDIRECT("'"&amp;I$6&amp;"'!"&amp;I$4&amp;ROW()-36))="0",INDIRECT("'"&amp;I$6&amp;"'!"&amp;I$4&amp;ROW()-36)="",NOT(ISNUMBER(INDIRECT("'"&amp;I$6&amp;"'!"&amp;I$4&amp;ROW()-36)))),"-",INDIRECT("'"&amp;I$6&amp;"'!"&amp;I$4&amp;ROW()-36))</f>
        <v>-</v>
      </c>
      <c r="J115" s="120" t="str">
        <f ca="1" t="array" ref="J115">IF(OR(TRIM(INDIRECT("'"&amp;J$6&amp;"'!"&amp;J$4&amp;ROW()-36))="0",INDIRECT("'"&amp;J$6&amp;"'!"&amp;J$4&amp;ROW()-36)="",NOT(ISNUMBER(INDIRECT("'"&amp;J$6&amp;"'!"&amp;J$4&amp;ROW()-36)))),"-",INDIRECT("'"&amp;J$6&amp;"'!"&amp;J$4&amp;ROW()-36))</f>
        <v>-</v>
      </c>
      <c r="K115" s="120" t="str">
        <f ca="1" t="array" ref="K115">IF(OR(TRIM(INDIRECT("'"&amp;K$6&amp;"'!"&amp;K$4&amp;ROW()-36))="0",INDIRECT("'"&amp;K$6&amp;"'!"&amp;K$4&amp;ROW()-36)="",NOT(ISNUMBER(INDIRECT("'"&amp;K$6&amp;"'!"&amp;K$4&amp;ROW()-36)))),"-",INDIRECT("'"&amp;K$6&amp;"'!"&amp;K$4&amp;ROW()-36))</f>
        <v>-</v>
      </c>
      <c r="L115" s="120" t="str">
        <f ca="1" t="array" ref="L115">IF(OR(TRIM(INDIRECT("'"&amp;L$6&amp;"'!"&amp;L$4&amp;ROW()-36))="0",INDIRECT("'"&amp;L$6&amp;"'!"&amp;L$4&amp;ROW()-36)="",NOT(ISNUMBER(INDIRECT("'"&amp;L$6&amp;"'!"&amp;L$4&amp;ROW()-36)))),"-",INDIRECT("'"&amp;L$6&amp;"'!"&amp;L$4&amp;ROW()-36))</f>
        <v>-</v>
      </c>
      <c r="M115" s="120" t="str">
        <f ca="1" t="array" ref="M115">IF(OR(TRIM(INDIRECT("'"&amp;M$6&amp;"'!"&amp;M$4&amp;ROW()-36))="0",INDIRECT("'"&amp;M$6&amp;"'!"&amp;M$4&amp;ROW()-36)="",NOT(ISNUMBER(INDIRECT("'"&amp;M$6&amp;"'!"&amp;M$4&amp;ROW()-36)))),"-",INDIRECT("'"&amp;M$6&amp;"'!"&amp;M$4&amp;ROW()-36))</f>
        <v>-</v>
      </c>
      <c r="N115" s="31">
        <f ca="1" t="shared" si="36"/>
        <v>0</v>
      </c>
      <c r="O115" s="31">
        <f ca="1" t="shared" si="37"/>
        <v>0</v>
      </c>
    </row>
    <row r="116" s="66" customFormat="1" ht="15" customHeight="1" spans="1:15">
      <c r="A116" s="10" t="str">
        <f>'Section-Category'!A70</f>
        <v>Total TRANSPORTATION</v>
      </c>
      <c r="B116" s="123">
        <f ca="1" t="shared" ref="B116:O116" si="38">SUM(B110:B115)</f>
        <v>0</v>
      </c>
      <c r="C116" s="123">
        <f ca="1" t="shared" si="38"/>
        <v>0</v>
      </c>
      <c r="D116" s="123">
        <f ca="1" t="shared" si="38"/>
        <v>0</v>
      </c>
      <c r="E116" s="123">
        <f ca="1" t="shared" si="38"/>
        <v>0</v>
      </c>
      <c r="F116" s="123">
        <f ca="1" t="shared" si="38"/>
        <v>0</v>
      </c>
      <c r="G116" s="123">
        <f ca="1" t="shared" si="38"/>
        <v>0</v>
      </c>
      <c r="H116" s="123">
        <f ca="1" t="shared" si="38"/>
        <v>0</v>
      </c>
      <c r="I116" s="123">
        <f ca="1" t="shared" si="38"/>
        <v>0</v>
      </c>
      <c r="J116" s="123">
        <f ca="1" t="shared" si="38"/>
        <v>0</v>
      </c>
      <c r="K116" s="123">
        <f ca="1" t="shared" si="38"/>
        <v>0</v>
      </c>
      <c r="L116" s="123">
        <f ca="1" t="shared" si="38"/>
        <v>0</v>
      </c>
      <c r="M116" s="123">
        <f ca="1" t="shared" si="38"/>
        <v>0</v>
      </c>
      <c r="N116" s="39">
        <f ca="1" t="shared" si="38"/>
        <v>0</v>
      </c>
      <c r="O116" s="39">
        <f ca="1" t="shared" si="38"/>
        <v>0</v>
      </c>
    </row>
    <row r="117" s="66" customFormat="1" ht="13.5" customHeight="1" spans="1:15">
      <c r="A117" s="11" t="str">
        <f>'Section-Category'!A71</f>
        <v>% of Total Expenses</v>
      </c>
      <c r="B117" s="124" t="str">
        <f ca="1" t="shared" ref="B117:O117" si="39">IF(B$17=0," - ",B116/B$17)</f>
        <v> - </v>
      </c>
      <c r="C117" s="124" t="str">
        <f ca="1" t="shared" si="39"/>
        <v> - </v>
      </c>
      <c r="D117" s="124" t="str">
        <f ca="1" t="shared" si="39"/>
        <v> - </v>
      </c>
      <c r="E117" s="124" t="str">
        <f ca="1" t="shared" si="39"/>
        <v> - </v>
      </c>
      <c r="F117" s="124" t="str">
        <f ca="1" t="shared" si="39"/>
        <v> - </v>
      </c>
      <c r="G117" s="124" t="str">
        <f ca="1" t="shared" si="39"/>
        <v> - </v>
      </c>
      <c r="H117" s="124" t="str">
        <f ca="1" t="shared" si="39"/>
        <v> - </v>
      </c>
      <c r="I117" s="124" t="str">
        <f ca="1" t="shared" si="39"/>
        <v> - </v>
      </c>
      <c r="J117" s="124" t="str">
        <f ca="1" t="shared" si="39"/>
        <v> - </v>
      </c>
      <c r="K117" s="124" t="str">
        <f ca="1" t="shared" si="39"/>
        <v> - </v>
      </c>
      <c r="L117" s="124" t="str">
        <f ca="1" t="shared" si="39"/>
        <v> - </v>
      </c>
      <c r="M117" s="124" t="str">
        <f ca="1" t="shared" si="39"/>
        <v> - </v>
      </c>
      <c r="N117" s="125" t="str">
        <f ca="1" t="shared" si="39"/>
        <v> - </v>
      </c>
      <c r="O117" s="125" t="str">
        <f ca="1" t="shared" si="39"/>
        <v> - </v>
      </c>
    </row>
    <row r="118" s="28" customFormat="1" ht="13.5" customHeight="1" spans="1:15">
      <c r="A118" s="7"/>
    </row>
    <row r="119" s="62" customFormat="1" spans="1:15">
      <c r="A119" s="12" t="str">
        <f>'Section-Category'!A73</f>
        <v>HEALTH</v>
      </c>
      <c r="B119" s="40" t="str">
        <f t="shared" ref="B119:M119" si="40">B$6</f>
        <v>Jan</v>
      </c>
      <c r="C119" s="40" t="str">
        <f t="shared" si="40"/>
        <v>Feb</v>
      </c>
      <c r="D119" s="40" t="str">
        <f t="shared" si="40"/>
        <v>Mar</v>
      </c>
      <c r="E119" s="40" t="str">
        <f t="shared" si="40"/>
        <v>Apr</v>
      </c>
      <c r="F119" s="40" t="str">
        <f t="shared" si="40"/>
        <v>May</v>
      </c>
      <c r="G119" s="40" t="str">
        <f t="shared" si="40"/>
        <v>Jun</v>
      </c>
      <c r="H119" s="40" t="str">
        <f t="shared" si="40"/>
        <v>Jul</v>
      </c>
      <c r="I119" s="40" t="str">
        <f t="shared" si="40"/>
        <v>Aug</v>
      </c>
      <c r="J119" s="40" t="str">
        <f t="shared" si="40"/>
        <v>Sep</v>
      </c>
      <c r="K119" s="40" t="str">
        <f t="shared" si="40"/>
        <v>Oct</v>
      </c>
      <c r="L119" s="40" t="str">
        <f t="shared" si="40"/>
        <v>Nov</v>
      </c>
      <c r="M119" s="40" t="str">
        <f t="shared" si="40"/>
        <v>Dec</v>
      </c>
      <c r="N119" s="40" t="s">
        <v>34</v>
      </c>
      <c r="O119" s="40" t="s">
        <v>35</v>
      </c>
    </row>
    <row r="120" s="28" customFormat="1" ht="15" customHeight="1" spans="1:15">
      <c r="A120" s="13" t="str">
        <f>'Section-Category'!A74</f>
        <v>Doctor/Dentist</v>
      </c>
      <c r="B120" s="120" t="str">
        <f ca="1" t="array" ref="B120">IF(OR(TRIM(INDIRECT("'"&amp;B$6&amp;"'!"&amp;B$4&amp;ROW()-37))="0",INDIRECT("'"&amp;B$6&amp;"'!"&amp;B$4&amp;ROW()-37)="",NOT(ISNUMBER(INDIRECT("'"&amp;B$6&amp;"'!"&amp;B$4&amp;ROW()-37)))),"-",INDIRECT("'"&amp;B$6&amp;"'!"&amp;B$4&amp;ROW()-37))</f>
        <v>-</v>
      </c>
      <c r="C120" s="120" t="str">
        <f ca="1" t="array" ref="C120">IF(OR(TRIM(INDIRECT("'"&amp;C$6&amp;"'!"&amp;C$4&amp;ROW()-37))="0",INDIRECT("'"&amp;C$6&amp;"'!"&amp;C$4&amp;ROW()-37)="",NOT(ISNUMBER(INDIRECT("'"&amp;C$6&amp;"'!"&amp;C$4&amp;ROW()-37)))),"-",INDIRECT("'"&amp;C$6&amp;"'!"&amp;C$4&amp;ROW()-37))</f>
        <v>-</v>
      </c>
      <c r="D120" s="120" t="str">
        <f ca="1" t="array" ref="D120">IF(OR(TRIM(INDIRECT("'"&amp;D$6&amp;"'!"&amp;D$4&amp;ROW()-37))="0",INDIRECT("'"&amp;D$6&amp;"'!"&amp;D$4&amp;ROW()-37)="",NOT(ISNUMBER(INDIRECT("'"&amp;D$6&amp;"'!"&amp;D$4&amp;ROW()-37)))),"-",INDIRECT("'"&amp;D$6&amp;"'!"&amp;D$4&amp;ROW()-37))</f>
        <v>-</v>
      </c>
      <c r="E120" s="120" t="str">
        <f ca="1" t="array" ref="E120">IF(OR(TRIM(INDIRECT("'"&amp;E$6&amp;"'!"&amp;E$4&amp;ROW()-37))="0",INDIRECT("'"&amp;E$6&amp;"'!"&amp;E$4&amp;ROW()-37)="",NOT(ISNUMBER(INDIRECT("'"&amp;E$6&amp;"'!"&amp;E$4&amp;ROW()-37)))),"-",INDIRECT("'"&amp;E$6&amp;"'!"&amp;E$4&amp;ROW()-37))</f>
        <v>-</v>
      </c>
      <c r="F120" s="120" t="str">
        <f ca="1" t="array" ref="F120">IF(OR(TRIM(INDIRECT("'"&amp;F$6&amp;"'!"&amp;F$4&amp;ROW()-37))="0",INDIRECT("'"&amp;F$6&amp;"'!"&amp;F$4&amp;ROW()-37)="",NOT(ISNUMBER(INDIRECT("'"&amp;F$6&amp;"'!"&amp;F$4&amp;ROW()-37)))),"-",INDIRECT("'"&amp;F$6&amp;"'!"&amp;F$4&amp;ROW()-37))</f>
        <v>-</v>
      </c>
      <c r="G120" s="120" t="str">
        <f ca="1" t="array" ref="G120">IF(OR(TRIM(INDIRECT("'"&amp;G$6&amp;"'!"&amp;G$4&amp;ROW()-37))="0",INDIRECT("'"&amp;G$6&amp;"'!"&amp;G$4&amp;ROW()-37)="",NOT(ISNUMBER(INDIRECT("'"&amp;G$6&amp;"'!"&amp;G$4&amp;ROW()-37)))),"-",INDIRECT("'"&amp;G$6&amp;"'!"&amp;G$4&amp;ROW()-37))</f>
        <v>-</v>
      </c>
      <c r="H120" s="120" t="str">
        <f ca="1" t="array" ref="H120">IF(OR(TRIM(INDIRECT("'"&amp;H$6&amp;"'!"&amp;H$4&amp;ROW()-37))="0",INDIRECT("'"&amp;H$6&amp;"'!"&amp;H$4&amp;ROW()-37)="",NOT(ISNUMBER(INDIRECT("'"&amp;H$6&amp;"'!"&amp;H$4&amp;ROW()-37)))),"-",INDIRECT("'"&amp;H$6&amp;"'!"&amp;H$4&amp;ROW()-37))</f>
        <v>-</v>
      </c>
      <c r="I120" s="120" t="str">
        <f ca="1" t="array" ref="I120">IF(OR(TRIM(INDIRECT("'"&amp;I$6&amp;"'!"&amp;I$4&amp;ROW()-37))="0",INDIRECT("'"&amp;I$6&amp;"'!"&amp;I$4&amp;ROW()-37)="",NOT(ISNUMBER(INDIRECT("'"&amp;I$6&amp;"'!"&amp;I$4&amp;ROW()-37)))),"-",INDIRECT("'"&amp;I$6&amp;"'!"&amp;I$4&amp;ROW()-37))</f>
        <v>-</v>
      </c>
      <c r="J120" s="120" t="str">
        <f ca="1" t="array" ref="J120">IF(OR(TRIM(INDIRECT("'"&amp;J$6&amp;"'!"&amp;J$4&amp;ROW()-37))="0",INDIRECT("'"&amp;J$6&amp;"'!"&amp;J$4&amp;ROW()-37)="",NOT(ISNUMBER(INDIRECT("'"&amp;J$6&amp;"'!"&amp;J$4&amp;ROW()-37)))),"-",INDIRECT("'"&amp;J$6&amp;"'!"&amp;J$4&amp;ROW()-37))</f>
        <v>-</v>
      </c>
      <c r="K120" s="120" t="str">
        <f ca="1" t="array" ref="K120">IF(OR(TRIM(INDIRECT("'"&amp;K$6&amp;"'!"&amp;K$4&amp;ROW()-37))="0",INDIRECT("'"&amp;K$6&amp;"'!"&amp;K$4&amp;ROW()-37)="",NOT(ISNUMBER(INDIRECT("'"&amp;K$6&amp;"'!"&amp;K$4&amp;ROW()-37)))),"-",INDIRECT("'"&amp;K$6&amp;"'!"&amp;K$4&amp;ROW()-37))</f>
        <v>-</v>
      </c>
      <c r="L120" s="120" t="str">
        <f ca="1" t="array" ref="L120">IF(OR(TRIM(INDIRECT("'"&amp;L$6&amp;"'!"&amp;L$4&amp;ROW()-37))="0",INDIRECT("'"&amp;L$6&amp;"'!"&amp;L$4&amp;ROW()-37)="",NOT(ISNUMBER(INDIRECT("'"&amp;L$6&amp;"'!"&amp;L$4&amp;ROW()-37)))),"-",INDIRECT("'"&amp;L$6&amp;"'!"&amp;L$4&amp;ROW()-37))</f>
        <v>-</v>
      </c>
      <c r="M120" s="120" t="str">
        <f ca="1" t="array" ref="M120">IF(OR(TRIM(INDIRECT("'"&amp;M$6&amp;"'!"&amp;M$4&amp;ROW()-37))="0",INDIRECT("'"&amp;M$6&amp;"'!"&amp;M$4&amp;ROW()-37)="",NOT(ISNUMBER(INDIRECT("'"&amp;M$6&amp;"'!"&amp;M$4&amp;ROW()-37)))),"-",INDIRECT("'"&amp;M$6&amp;"'!"&amp;M$4&amp;ROW()-37))</f>
        <v>-</v>
      </c>
      <c r="N120" s="31">
        <v>0</v>
      </c>
      <c r="O120" s="31">
        <f ca="1" t="shared" ref="O120:O124" si="41">N120/COLUMNS(B120:M120)</f>
        <v>0</v>
      </c>
    </row>
    <row r="121" s="28" customFormat="1" ht="15" customHeight="1" spans="1:15">
      <c r="A121" s="13" t="str">
        <f>'Section-Category'!A75</f>
        <v>Medicine/Drugs</v>
      </c>
      <c r="B121" s="120" t="str">
        <f ca="1" t="array" ref="B121">IF(OR(TRIM(INDIRECT("'"&amp;B$6&amp;"'!"&amp;B$4&amp;ROW()-37))="0",INDIRECT("'"&amp;B$6&amp;"'!"&amp;B$4&amp;ROW()-37)="",NOT(ISNUMBER(INDIRECT("'"&amp;B$6&amp;"'!"&amp;B$4&amp;ROW()-37)))),"-",INDIRECT("'"&amp;B$6&amp;"'!"&amp;B$4&amp;ROW()-37))</f>
        <v>-</v>
      </c>
      <c r="C121" s="120" t="str">
        <f ca="1" t="array" ref="C121">IF(OR(TRIM(INDIRECT("'"&amp;C$6&amp;"'!"&amp;C$4&amp;ROW()-37))="0",INDIRECT("'"&amp;C$6&amp;"'!"&amp;C$4&amp;ROW()-37)="",NOT(ISNUMBER(INDIRECT("'"&amp;C$6&amp;"'!"&amp;C$4&amp;ROW()-37)))),"-",INDIRECT("'"&amp;C$6&amp;"'!"&amp;C$4&amp;ROW()-37))</f>
        <v>-</v>
      </c>
      <c r="D121" s="120" t="str">
        <f ca="1" t="array" ref="D121">IF(OR(TRIM(INDIRECT("'"&amp;D$6&amp;"'!"&amp;D$4&amp;ROW()-37))="0",INDIRECT("'"&amp;D$6&amp;"'!"&amp;D$4&amp;ROW()-37)="",NOT(ISNUMBER(INDIRECT("'"&amp;D$6&amp;"'!"&amp;D$4&amp;ROW()-37)))),"-",INDIRECT("'"&amp;D$6&amp;"'!"&amp;D$4&amp;ROW()-37))</f>
        <v>-</v>
      </c>
      <c r="E121" s="120" t="str">
        <f ca="1" t="array" ref="E121">IF(OR(TRIM(INDIRECT("'"&amp;E$6&amp;"'!"&amp;E$4&amp;ROW()-37))="0",INDIRECT("'"&amp;E$6&amp;"'!"&amp;E$4&amp;ROW()-37)="",NOT(ISNUMBER(INDIRECT("'"&amp;E$6&amp;"'!"&amp;E$4&amp;ROW()-37)))),"-",INDIRECT("'"&amp;E$6&amp;"'!"&amp;E$4&amp;ROW()-37))</f>
        <v>-</v>
      </c>
      <c r="F121" s="120" t="str">
        <f ca="1" t="array" ref="F121">IF(OR(TRIM(INDIRECT("'"&amp;F$6&amp;"'!"&amp;F$4&amp;ROW()-37))="0",INDIRECT("'"&amp;F$6&amp;"'!"&amp;F$4&amp;ROW()-37)="",NOT(ISNUMBER(INDIRECT("'"&amp;F$6&amp;"'!"&amp;F$4&amp;ROW()-37)))),"-",INDIRECT("'"&amp;F$6&amp;"'!"&amp;F$4&amp;ROW()-37))</f>
        <v>-</v>
      </c>
      <c r="G121" s="120" t="str">
        <f ca="1" t="array" ref="G121">IF(OR(TRIM(INDIRECT("'"&amp;G$6&amp;"'!"&amp;G$4&amp;ROW()-37))="0",INDIRECT("'"&amp;G$6&amp;"'!"&amp;G$4&amp;ROW()-37)="",NOT(ISNUMBER(INDIRECT("'"&amp;G$6&amp;"'!"&amp;G$4&amp;ROW()-37)))),"-",INDIRECT("'"&amp;G$6&amp;"'!"&amp;G$4&amp;ROW()-37))</f>
        <v>-</v>
      </c>
      <c r="H121" s="120" t="str">
        <f ca="1" t="array" ref="H121">IF(OR(TRIM(INDIRECT("'"&amp;H$6&amp;"'!"&amp;H$4&amp;ROW()-37))="0",INDIRECT("'"&amp;H$6&amp;"'!"&amp;H$4&amp;ROW()-37)="",NOT(ISNUMBER(INDIRECT("'"&amp;H$6&amp;"'!"&amp;H$4&amp;ROW()-37)))),"-",INDIRECT("'"&amp;H$6&amp;"'!"&amp;H$4&amp;ROW()-37))</f>
        <v>-</v>
      </c>
      <c r="I121" s="120" t="str">
        <f ca="1" t="array" ref="I121">IF(OR(TRIM(INDIRECT("'"&amp;I$6&amp;"'!"&amp;I$4&amp;ROW()-37))="0",INDIRECT("'"&amp;I$6&amp;"'!"&amp;I$4&amp;ROW()-37)="",NOT(ISNUMBER(INDIRECT("'"&amp;I$6&amp;"'!"&amp;I$4&amp;ROW()-37)))),"-",INDIRECT("'"&amp;I$6&amp;"'!"&amp;I$4&amp;ROW()-37))</f>
        <v>-</v>
      </c>
      <c r="J121" s="120" t="str">
        <f ca="1" t="array" ref="J121">IF(OR(TRIM(INDIRECT("'"&amp;J$6&amp;"'!"&amp;J$4&amp;ROW()-37))="0",INDIRECT("'"&amp;J$6&amp;"'!"&amp;J$4&amp;ROW()-37)="",NOT(ISNUMBER(INDIRECT("'"&amp;J$6&amp;"'!"&amp;J$4&amp;ROW()-37)))),"-",INDIRECT("'"&amp;J$6&amp;"'!"&amp;J$4&amp;ROW()-37))</f>
        <v>-</v>
      </c>
      <c r="K121" s="120" t="str">
        <f ca="1" t="array" ref="K121">IF(OR(TRIM(INDIRECT("'"&amp;K$6&amp;"'!"&amp;K$4&amp;ROW()-37))="0",INDIRECT("'"&amp;K$6&amp;"'!"&amp;K$4&amp;ROW()-37)="",NOT(ISNUMBER(INDIRECT("'"&amp;K$6&amp;"'!"&amp;K$4&amp;ROW()-37)))),"-",INDIRECT("'"&amp;K$6&amp;"'!"&amp;K$4&amp;ROW()-37))</f>
        <v>-</v>
      </c>
      <c r="L121" s="120" t="str">
        <f ca="1" t="array" ref="L121">IF(OR(TRIM(INDIRECT("'"&amp;L$6&amp;"'!"&amp;L$4&amp;ROW()-37))="0",INDIRECT("'"&amp;L$6&amp;"'!"&amp;L$4&amp;ROW()-37)="",NOT(ISNUMBER(INDIRECT("'"&amp;L$6&amp;"'!"&amp;L$4&amp;ROW()-37)))),"-",INDIRECT("'"&amp;L$6&amp;"'!"&amp;L$4&amp;ROW()-37))</f>
        <v>-</v>
      </c>
      <c r="M121" s="120" t="str">
        <f ca="1" t="array" ref="M121">IF(OR(TRIM(INDIRECT("'"&amp;M$6&amp;"'!"&amp;M$4&amp;ROW()-37))="0",INDIRECT("'"&amp;M$6&amp;"'!"&amp;M$4&amp;ROW()-37)="",NOT(ISNUMBER(INDIRECT("'"&amp;M$6&amp;"'!"&amp;M$4&amp;ROW()-37)))),"-",INDIRECT("'"&amp;M$6&amp;"'!"&amp;M$4&amp;ROW()-37))</f>
        <v>-</v>
      </c>
      <c r="N121" s="31">
        <v>0</v>
      </c>
      <c r="O121" s="31">
        <f ca="1" t="shared" si="41"/>
        <v>0</v>
      </c>
    </row>
    <row r="122" s="28" customFormat="1" ht="15" customHeight="1" spans="1:15">
      <c r="A122" s="13" t="str">
        <f>'Section-Category'!A76</f>
        <v>Lab Test</v>
      </c>
      <c r="B122" s="120" t="str">
        <f ca="1" t="array" ref="B122">IF(OR(TRIM(INDIRECT("'"&amp;B$6&amp;"'!"&amp;B$4&amp;ROW()-37))="0",INDIRECT("'"&amp;B$6&amp;"'!"&amp;B$4&amp;ROW()-37)="",NOT(ISNUMBER(INDIRECT("'"&amp;B$6&amp;"'!"&amp;B$4&amp;ROW()-37)))),"-",INDIRECT("'"&amp;B$6&amp;"'!"&amp;B$4&amp;ROW()-37))</f>
        <v>-</v>
      </c>
      <c r="C122" s="120" t="str">
        <f ca="1" t="array" ref="C122">IF(OR(TRIM(INDIRECT("'"&amp;C$6&amp;"'!"&amp;C$4&amp;ROW()-37))="0",INDIRECT("'"&amp;C$6&amp;"'!"&amp;C$4&amp;ROW()-37)="",NOT(ISNUMBER(INDIRECT("'"&amp;C$6&amp;"'!"&amp;C$4&amp;ROW()-37)))),"-",INDIRECT("'"&amp;C$6&amp;"'!"&amp;C$4&amp;ROW()-37))</f>
        <v>-</v>
      </c>
      <c r="D122" s="120" t="str">
        <f ca="1" t="array" ref="D122">IF(OR(TRIM(INDIRECT("'"&amp;D$6&amp;"'!"&amp;D$4&amp;ROW()-37))="0",INDIRECT("'"&amp;D$6&amp;"'!"&amp;D$4&amp;ROW()-37)="",NOT(ISNUMBER(INDIRECT("'"&amp;D$6&amp;"'!"&amp;D$4&amp;ROW()-37)))),"-",INDIRECT("'"&amp;D$6&amp;"'!"&amp;D$4&amp;ROW()-37))</f>
        <v>-</v>
      </c>
      <c r="E122" s="120" t="str">
        <f ca="1" t="array" ref="E122">IF(OR(TRIM(INDIRECT("'"&amp;E$6&amp;"'!"&amp;E$4&amp;ROW()-37))="0",INDIRECT("'"&amp;E$6&amp;"'!"&amp;E$4&amp;ROW()-37)="",NOT(ISNUMBER(INDIRECT("'"&amp;E$6&amp;"'!"&amp;E$4&amp;ROW()-37)))),"-",INDIRECT("'"&amp;E$6&amp;"'!"&amp;E$4&amp;ROW()-37))</f>
        <v>-</v>
      </c>
      <c r="F122" s="120" t="str">
        <f ca="1" t="array" ref="F122">IF(OR(TRIM(INDIRECT("'"&amp;F$6&amp;"'!"&amp;F$4&amp;ROW()-37))="0",INDIRECT("'"&amp;F$6&amp;"'!"&amp;F$4&amp;ROW()-37)="",NOT(ISNUMBER(INDIRECT("'"&amp;F$6&amp;"'!"&amp;F$4&amp;ROW()-37)))),"-",INDIRECT("'"&amp;F$6&amp;"'!"&amp;F$4&amp;ROW()-37))</f>
        <v>-</v>
      </c>
      <c r="G122" s="120" t="str">
        <f ca="1" t="array" ref="G122">IF(OR(TRIM(INDIRECT("'"&amp;G$6&amp;"'!"&amp;G$4&amp;ROW()-37))="0",INDIRECT("'"&amp;G$6&amp;"'!"&amp;G$4&amp;ROW()-37)="",NOT(ISNUMBER(INDIRECT("'"&amp;G$6&amp;"'!"&amp;G$4&amp;ROW()-37)))),"-",INDIRECT("'"&amp;G$6&amp;"'!"&amp;G$4&amp;ROW()-37))</f>
        <v>-</v>
      </c>
      <c r="H122" s="120" t="str">
        <f ca="1" t="array" ref="H122">IF(OR(TRIM(INDIRECT("'"&amp;H$6&amp;"'!"&amp;H$4&amp;ROW()-37))="0",INDIRECT("'"&amp;H$6&amp;"'!"&amp;H$4&amp;ROW()-37)="",NOT(ISNUMBER(INDIRECT("'"&amp;H$6&amp;"'!"&amp;H$4&amp;ROW()-37)))),"-",INDIRECT("'"&amp;H$6&amp;"'!"&amp;H$4&amp;ROW()-37))</f>
        <v>-</v>
      </c>
      <c r="I122" s="120" t="str">
        <f ca="1" t="array" ref="I122">IF(OR(TRIM(INDIRECT("'"&amp;I$6&amp;"'!"&amp;I$4&amp;ROW()-37))="0",INDIRECT("'"&amp;I$6&amp;"'!"&amp;I$4&amp;ROW()-37)="",NOT(ISNUMBER(INDIRECT("'"&amp;I$6&amp;"'!"&amp;I$4&amp;ROW()-37)))),"-",INDIRECT("'"&amp;I$6&amp;"'!"&amp;I$4&amp;ROW()-37))</f>
        <v>-</v>
      </c>
      <c r="J122" s="120" t="str">
        <f ca="1" t="array" ref="J122">IF(OR(TRIM(INDIRECT("'"&amp;J$6&amp;"'!"&amp;J$4&amp;ROW()-37))="0",INDIRECT("'"&amp;J$6&amp;"'!"&amp;J$4&amp;ROW()-37)="",NOT(ISNUMBER(INDIRECT("'"&amp;J$6&amp;"'!"&amp;J$4&amp;ROW()-37)))),"-",INDIRECT("'"&amp;J$6&amp;"'!"&amp;J$4&amp;ROW()-37))</f>
        <v>-</v>
      </c>
      <c r="K122" s="120" t="str">
        <f ca="1" t="array" ref="K122">IF(OR(TRIM(INDIRECT("'"&amp;K$6&amp;"'!"&amp;K$4&amp;ROW()-37))="0",INDIRECT("'"&amp;K$6&amp;"'!"&amp;K$4&amp;ROW()-37)="",NOT(ISNUMBER(INDIRECT("'"&amp;K$6&amp;"'!"&amp;K$4&amp;ROW()-37)))),"-",INDIRECT("'"&amp;K$6&amp;"'!"&amp;K$4&amp;ROW()-37))</f>
        <v>-</v>
      </c>
      <c r="L122" s="120" t="str">
        <f ca="1" t="array" ref="L122">IF(OR(TRIM(INDIRECT("'"&amp;L$6&amp;"'!"&amp;L$4&amp;ROW()-37))="0",INDIRECT("'"&amp;L$6&amp;"'!"&amp;L$4&amp;ROW()-37)="",NOT(ISNUMBER(INDIRECT("'"&amp;L$6&amp;"'!"&amp;L$4&amp;ROW()-37)))),"-",INDIRECT("'"&amp;L$6&amp;"'!"&amp;L$4&amp;ROW()-37))</f>
        <v>-</v>
      </c>
      <c r="M122" s="120" t="str">
        <f ca="1" t="array" ref="M122">IF(OR(TRIM(INDIRECT("'"&amp;M$6&amp;"'!"&amp;M$4&amp;ROW()-37))="0",INDIRECT("'"&amp;M$6&amp;"'!"&amp;M$4&amp;ROW()-37)="",NOT(ISNUMBER(INDIRECT("'"&amp;M$6&amp;"'!"&amp;M$4&amp;ROW()-37)))),"-",INDIRECT("'"&amp;M$6&amp;"'!"&amp;M$4&amp;ROW()-37))</f>
        <v>-</v>
      </c>
      <c r="N122" s="31">
        <v>0</v>
      </c>
      <c r="O122" s="31">
        <f ca="1" t="shared" si="41"/>
        <v>0</v>
      </c>
    </row>
    <row r="123" s="28" customFormat="1" ht="15" customHeight="1" spans="1:15">
      <c r="A123" s="13" t="str">
        <f>'Section-Category'!A77</f>
        <v>Consultation</v>
      </c>
      <c r="B123" s="120" t="str">
        <f ca="1" t="array" ref="B123">IF(OR(TRIM(INDIRECT("'"&amp;B$6&amp;"'!"&amp;B$4&amp;ROW()-37))="0",INDIRECT("'"&amp;B$6&amp;"'!"&amp;B$4&amp;ROW()-37)="",NOT(ISNUMBER(INDIRECT("'"&amp;B$6&amp;"'!"&amp;B$4&amp;ROW()-37)))),"-",INDIRECT("'"&amp;B$6&amp;"'!"&amp;B$4&amp;ROW()-37))</f>
        <v>-</v>
      </c>
      <c r="C123" s="120" t="str">
        <f ca="1" t="array" ref="C123">IF(OR(TRIM(INDIRECT("'"&amp;C$6&amp;"'!"&amp;C$4&amp;ROW()-37))="0",INDIRECT("'"&amp;C$6&amp;"'!"&amp;C$4&amp;ROW()-37)="",NOT(ISNUMBER(INDIRECT("'"&amp;C$6&amp;"'!"&amp;C$4&amp;ROW()-37)))),"-",INDIRECT("'"&amp;C$6&amp;"'!"&amp;C$4&amp;ROW()-37))</f>
        <v>-</v>
      </c>
      <c r="D123" s="120" t="str">
        <f ca="1" t="array" ref="D123">IF(OR(TRIM(INDIRECT("'"&amp;D$6&amp;"'!"&amp;D$4&amp;ROW()-37))="0",INDIRECT("'"&amp;D$6&amp;"'!"&amp;D$4&amp;ROW()-37)="",NOT(ISNUMBER(INDIRECT("'"&amp;D$6&amp;"'!"&amp;D$4&amp;ROW()-37)))),"-",INDIRECT("'"&amp;D$6&amp;"'!"&amp;D$4&amp;ROW()-37))</f>
        <v>-</v>
      </c>
      <c r="E123" s="120" t="str">
        <f ca="1" t="array" ref="E123">IF(OR(TRIM(INDIRECT("'"&amp;E$6&amp;"'!"&amp;E$4&amp;ROW()-37))="0",INDIRECT("'"&amp;E$6&amp;"'!"&amp;E$4&amp;ROW()-37)="",NOT(ISNUMBER(INDIRECT("'"&amp;E$6&amp;"'!"&amp;E$4&amp;ROW()-37)))),"-",INDIRECT("'"&amp;E$6&amp;"'!"&amp;E$4&amp;ROW()-37))</f>
        <v>-</v>
      </c>
      <c r="F123" s="120" t="str">
        <f ca="1" t="array" ref="F123">IF(OR(TRIM(INDIRECT("'"&amp;F$6&amp;"'!"&amp;F$4&amp;ROW()-37))="0",INDIRECT("'"&amp;F$6&amp;"'!"&amp;F$4&amp;ROW()-37)="",NOT(ISNUMBER(INDIRECT("'"&amp;F$6&amp;"'!"&amp;F$4&amp;ROW()-37)))),"-",INDIRECT("'"&amp;F$6&amp;"'!"&amp;F$4&amp;ROW()-37))</f>
        <v>-</v>
      </c>
      <c r="G123" s="120" t="str">
        <f ca="1" t="array" ref="G123">IF(OR(TRIM(INDIRECT("'"&amp;G$6&amp;"'!"&amp;G$4&amp;ROW()-37))="0",INDIRECT("'"&amp;G$6&amp;"'!"&amp;G$4&amp;ROW()-37)="",NOT(ISNUMBER(INDIRECT("'"&amp;G$6&amp;"'!"&amp;G$4&amp;ROW()-37)))),"-",INDIRECT("'"&amp;G$6&amp;"'!"&amp;G$4&amp;ROW()-37))</f>
        <v>-</v>
      </c>
      <c r="H123" s="120" t="str">
        <f ca="1" t="array" ref="H123">IF(OR(TRIM(INDIRECT("'"&amp;H$6&amp;"'!"&amp;H$4&amp;ROW()-37))="0",INDIRECT("'"&amp;H$6&amp;"'!"&amp;H$4&amp;ROW()-37)="",NOT(ISNUMBER(INDIRECT("'"&amp;H$6&amp;"'!"&amp;H$4&amp;ROW()-37)))),"-",INDIRECT("'"&amp;H$6&amp;"'!"&amp;H$4&amp;ROW()-37))</f>
        <v>-</v>
      </c>
      <c r="I123" s="120" t="str">
        <f ca="1" t="array" ref="I123">IF(OR(TRIM(INDIRECT("'"&amp;I$6&amp;"'!"&amp;I$4&amp;ROW()-37))="0",INDIRECT("'"&amp;I$6&amp;"'!"&amp;I$4&amp;ROW()-37)="",NOT(ISNUMBER(INDIRECT("'"&amp;I$6&amp;"'!"&amp;I$4&amp;ROW()-37)))),"-",INDIRECT("'"&amp;I$6&amp;"'!"&amp;I$4&amp;ROW()-37))</f>
        <v>-</v>
      </c>
      <c r="J123" s="120" t="str">
        <f ca="1" t="array" ref="J123">IF(OR(TRIM(INDIRECT("'"&amp;J$6&amp;"'!"&amp;J$4&amp;ROW()-37))="0",INDIRECT("'"&amp;J$6&amp;"'!"&amp;J$4&amp;ROW()-37)="",NOT(ISNUMBER(INDIRECT("'"&amp;J$6&amp;"'!"&amp;J$4&amp;ROW()-37)))),"-",INDIRECT("'"&amp;J$6&amp;"'!"&amp;J$4&amp;ROW()-37))</f>
        <v>-</v>
      </c>
      <c r="K123" s="120" t="str">
        <f ca="1" t="array" ref="K123">IF(OR(TRIM(INDIRECT("'"&amp;K$6&amp;"'!"&amp;K$4&amp;ROW()-37))="0",INDIRECT("'"&amp;K$6&amp;"'!"&amp;K$4&amp;ROW()-37)="",NOT(ISNUMBER(INDIRECT("'"&amp;K$6&amp;"'!"&amp;K$4&amp;ROW()-37)))),"-",INDIRECT("'"&amp;K$6&amp;"'!"&amp;K$4&amp;ROW()-37))</f>
        <v>-</v>
      </c>
      <c r="L123" s="120" t="str">
        <f ca="1" t="array" ref="L123">IF(OR(TRIM(INDIRECT("'"&amp;L$6&amp;"'!"&amp;L$4&amp;ROW()-37))="0",INDIRECT("'"&amp;L$6&amp;"'!"&amp;L$4&amp;ROW()-37)="",NOT(ISNUMBER(INDIRECT("'"&amp;L$6&amp;"'!"&amp;L$4&amp;ROW()-37)))),"-",INDIRECT("'"&amp;L$6&amp;"'!"&amp;L$4&amp;ROW()-37))</f>
        <v>-</v>
      </c>
      <c r="M123" s="120" t="str">
        <f ca="1" t="array" ref="M123">IF(OR(TRIM(INDIRECT("'"&amp;M$6&amp;"'!"&amp;M$4&amp;ROW()-37))="0",INDIRECT("'"&amp;M$6&amp;"'!"&amp;M$4&amp;ROW()-37)="",NOT(ISNUMBER(INDIRECT("'"&amp;M$6&amp;"'!"&amp;M$4&amp;ROW()-37)))),"-",INDIRECT("'"&amp;M$6&amp;"'!"&amp;M$4&amp;ROW()-37))</f>
        <v>-</v>
      </c>
      <c r="N123" s="31">
        <v>0</v>
      </c>
      <c r="O123" s="31">
        <f ca="1" t="shared" si="41"/>
        <v>0</v>
      </c>
    </row>
    <row r="124" s="28" customFormat="1" ht="15.75" customHeight="1" spans="1:15">
      <c r="A124" s="13" t="str">
        <f>'Section-Category'!A78</f>
        <v>Other</v>
      </c>
      <c r="B124" s="120" t="str">
        <f ca="1" t="array" ref="B124">IF(OR(TRIM(INDIRECT("'"&amp;B$6&amp;"'!"&amp;B$4&amp;ROW()-37))="0",INDIRECT("'"&amp;B$6&amp;"'!"&amp;B$4&amp;ROW()-37)="",NOT(ISNUMBER(INDIRECT("'"&amp;B$6&amp;"'!"&amp;B$4&amp;ROW()-37)))),"-",INDIRECT("'"&amp;B$6&amp;"'!"&amp;B$4&amp;ROW()-37))</f>
        <v>-</v>
      </c>
      <c r="C124" s="120" t="str">
        <f ca="1" t="array" ref="C124">IF(OR(TRIM(INDIRECT("'"&amp;C$6&amp;"'!"&amp;C$4&amp;ROW()-37))="0",INDIRECT("'"&amp;C$6&amp;"'!"&amp;C$4&amp;ROW()-37)="",NOT(ISNUMBER(INDIRECT("'"&amp;C$6&amp;"'!"&amp;C$4&amp;ROW()-37)))),"-",INDIRECT("'"&amp;C$6&amp;"'!"&amp;C$4&amp;ROW()-37))</f>
        <v>-</v>
      </c>
      <c r="D124" s="120" t="str">
        <f ca="1" t="array" ref="D124">IF(OR(TRIM(INDIRECT("'"&amp;D$6&amp;"'!"&amp;D$4&amp;ROW()-37))="0",INDIRECT("'"&amp;D$6&amp;"'!"&amp;D$4&amp;ROW()-37)="",NOT(ISNUMBER(INDIRECT("'"&amp;D$6&amp;"'!"&amp;D$4&amp;ROW()-37)))),"-",INDIRECT("'"&amp;D$6&amp;"'!"&amp;D$4&amp;ROW()-37))</f>
        <v>-</v>
      </c>
      <c r="E124" s="120" t="str">
        <f ca="1" t="array" ref="E124">IF(OR(TRIM(INDIRECT("'"&amp;E$6&amp;"'!"&amp;E$4&amp;ROW()-37))="0",INDIRECT("'"&amp;E$6&amp;"'!"&amp;E$4&amp;ROW()-37)="",NOT(ISNUMBER(INDIRECT("'"&amp;E$6&amp;"'!"&amp;E$4&amp;ROW()-37)))),"-",INDIRECT("'"&amp;E$6&amp;"'!"&amp;E$4&amp;ROW()-37))</f>
        <v>-</v>
      </c>
      <c r="F124" s="120" t="str">
        <f ca="1" t="array" ref="F124">IF(OR(TRIM(INDIRECT("'"&amp;F$6&amp;"'!"&amp;F$4&amp;ROW()-37))="0",INDIRECT("'"&amp;F$6&amp;"'!"&amp;F$4&amp;ROW()-37)="",NOT(ISNUMBER(INDIRECT("'"&amp;F$6&amp;"'!"&amp;F$4&amp;ROW()-37)))),"-",INDIRECT("'"&amp;F$6&amp;"'!"&amp;F$4&amp;ROW()-37))</f>
        <v>-</v>
      </c>
      <c r="G124" s="120" t="str">
        <f ca="1" t="array" ref="G124">IF(OR(TRIM(INDIRECT("'"&amp;G$6&amp;"'!"&amp;G$4&amp;ROW()-37))="0",INDIRECT("'"&amp;G$6&amp;"'!"&amp;G$4&amp;ROW()-37)="",NOT(ISNUMBER(INDIRECT("'"&amp;G$6&amp;"'!"&amp;G$4&amp;ROW()-37)))),"-",INDIRECT("'"&amp;G$6&amp;"'!"&amp;G$4&amp;ROW()-37))</f>
        <v>-</v>
      </c>
      <c r="H124" s="120" t="str">
        <f ca="1" t="array" ref="H124">IF(OR(TRIM(INDIRECT("'"&amp;H$6&amp;"'!"&amp;H$4&amp;ROW()-37))="0",INDIRECT("'"&amp;H$6&amp;"'!"&amp;H$4&amp;ROW()-37)="",NOT(ISNUMBER(INDIRECT("'"&amp;H$6&amp;"'!"&amp;H$4&amp;ROW()-37)))),"-",INDIRECT("'"&amp;H$6&amp;"'!"&amp;H$4&amp;ROW()-37))</f>
        <v>-</v>
      </c>
      <c r="I124" s="120" t="str">
        <f ca="1" t="array" ref="I124">IF(OR(TRIM(INDIRECT("'"&amp;I$6&amp;"'!"&amp;I$4&amp;ROW()-37))="0",INDIRECT("'"&amp;I$6&amp;"'!"&amp;I$4&amp;ROW()-37)="",NOT(ISNUMBER(INDIRECT("'"&amp;I$6&amp;"'!"&amp;I$4&amp;ROW()-37)))),"-",INDIRECT("'"&amp;I$6&amp;"'!"&amp;I$4&amp;ROW()-37))</f>
        <v>-</v>
      </c>
      <c r="J124" s="120" t="str">
        <f ca="1" t="array" ref="J124">IF(OR(TRIM(INDIRECT("'"&amp;J$6&amp;"'!"&amp;J$4&amp;ROW()-37))="0",INDIRECT("'"&amp;J$6&amp;"'!"&amp;J$4&amp;ROW()-37)="",NOT(ISNUMBER(INDIRECT("'"&amp;J$6&amp;"'!"&amp;J$4&amp;ROW()-37)))),"-",INDIRECT("'"&amp;J$6&amp;"'!"&amp;J$4&amp;ROW()-37))</f>
        <v>-</v>
      </c>
      <c r="K124" s="120" t="str">
        <f ca="1" t="array" ref="K124">IF(OR(TRIM(INDIRECT("'"&amp;K$6&amp;"'!"&amp;K$4&amp;ROW()-37))="0",INDIRECT("'"&amp;K$6&amp;"'!"&amp;K$4&amp;ROW()-37)="",NOT(ISNUMBER(INDIRECT("'"&amp;K$6&amp;"'!"&amp;K$4&amp;ROW()-37)))),"-",INDIRECT("'"&amp;K$6&amp;"'!"&amp;K$4&amp;ROW()-37))</f>
        <v>-</v>
      </c>
      <c r="L124" s="120" t="str">
        <f ca="1" t="array" ref="L124">IF(OR(TRIM(INDIRECT("'"&amp;L$6&amp;"'!"&amp;L$4&amp;ROW()-37))="0",INDIRECT("'"&amp;L$6&amp;"'!"&amp;L$4&amp;ROW()-37)="",NOT(ISNUMBER(INDIRECT("'"&amp;L$6&amp;"'!"&amp;L$4&amp;ROW()-37)))),"-",INDIRECT("'"&amp;L$6&amp;"'!"&amp;L$4&amp;ROW()-37))</f>
        <v>-</v>
      </c>
      <c r="M124" s="120" t="str">
        <f ca="1" t="array" ref="M124">IF(OR(TRIM(INDIRECT("'"&amp;M$6&amp;"'!"&amp;M$4&amp;ROW()-37))="0",INDIRECT("'"&amp;M$6&amp;"'!"&amp;M$4&amp;ROW()-37)="",NOT(ISNUMBER(INDIRECT("'"&amp;M$6&amp;"'!"&amp;M$4&amp;ROW()-37)))),"-",INDIRECT("'"&amp;M$6&amp;"'!"&amp;M$4&amp;ROW()-37))</f>
        <v>-</v>
      </c>
      <c r="N124" s="31">
        <v>0</v>
      </c>
      <c r="O124" s="31">
        <f ca="1" t="shared" si="41"/>
        <v>0</v>
      </c>
    </row>
    <row r="125" s="66" customFormat="1" ht="15" customHeight="1" spans="1:15">
      <c r="A125" s="10" t="str">
        <f>'Section-Category'!A79</f>
        <v>Total HEALTH</v>
      </c>
      <c r="B125" s="123">
        <f ca="1" t="shared" ref="B125:O125" si="42">SUM(B120:B124)</f>
        <v>0</v>
      </c>
      <c r="C125" s="123">
        <f ca="1" t="shared" si="42"/>
        <v>0</v>
      </c>
      <c r="D125" s="123">
        <f ca="1" t="shared" si="42"/>
        <v>0</v>
      </c>
      <c r="E125" s="123">
        <f ca="1" t="shared" si="42"/>
        <v>0</v>
      </c>
      <c r="F125" s="123">
        <f ca="1" t="shared" si="42"/>
        <v>0</v>
      </c>
      <c r="G125" s="123">
        <f ca="1" t="shared" si="42"/>
        <v>0</v>
      </c>
      <c r="H125" s="123">
        <f ca="1" t="shared" si="42"/>
        <v>0</v>
      </c>
      <c r="I125" s="123">
        <f ca="1" t="shared" si="42"/>
        <v>0</v>
      </c>
      <c r="J125" s="123">
        <f ca="1" t="shared" si="42"/>
        <v>0</v>
      </c>
      <c r="K125" s="123">
        <f ca="1" t="shared" si="42"/>
        <v>0</v>
      </c>
      <c r="L125" s="123">
        <f ca="1" t="shared" si="42"/>
        <v>0</v>
      </c>
      <c r="M125" s="123">
        <f ca="1" t="shared" si="42"/>
        <v>0</v>
      </c>
      <c r="N125" s="39">
        <f t="shared" si="42"/>
        <v>0</v>
      </c>
      <c r="O125" s="39">
        <f ca="1" t="shared" si="42"/>
        <v>0</v>
      </c>
    </row>
    <row r="126" s="66" customFormat="1" ht="13.5" customHeight="1" spans="1:15">
      <c r="A126" s="11" t="str">
        <f>'Section-Category'!A80</f>
        <v>% of Total Expenses</v>
      </c>
      <c r="B126" s="124" t="str">
        <f ca="1" t="shared" ref="B126:O126" si="43">IF(B$17=0," - ",B125/B$17)</f>
        <v> - </v>
      </c>
      <c r="C126" s="124" t="str">
        <f ca="1" t="shared" si="43"/>
        <v> - </v>
      </c>
      <c r="D126" s="124" t="str">
        <f ca="1" t="shared" si="43"/>
        <v> - </v>
      </c>
      <c r="E126" s="124" t="str">
        <f ca="1" t="shared" si="43"/>
        <v> - </v>
      </c>
      <c r="F126" s="124" t="str">
        <f ca="1" t="shared" si="43"/>
        <v> - </v>
      </c>
      <c r="G126" s="124" t="str">
        <f ca="1" t="shared" si="43"/>
        <v> - </v>
      </c>
      <c r="H126" s="124" t="str">
        <f ca="1" t="shared" si="43"/>
        <v> - </v>
      </c>
      <c r="I126" s="124" t="str">
        <f ca="1" t="shared" si="43"/>
        <v> - </v>
      </c>
      <c r="J126" s="124" t="str">
        <f ca="1" t="shared" si="43"/>
        <v> - </v>
      </c>
      <c r="K126" s="124" t="str">
        <f ca="1" t="shared" si="43"/>
        <v> - </v>
      </c>
      <c r="L126" s="124" t="str">
        <f ca="1" t="shared" si="43"/>
        <v> - </v>
      </c>
      <c r="M126" s="124" t="str">
        <f ca="1" t="shared" si="43"/>
        <v> - </v>
      </c>
      <c r="N126" s="125" t="str">
        <f ca="1" t="shared" si="43"/>
        <v> - </v>
      </c>
      <c r="O126" s="125" t="str">
        <f ca="1" t="shared" si="43"/>
        <v> - </v>
      </c>
    </row>
    <row r="127" s="28" customFormat="1" ht="12.75" customHeight="1" spans="1:15">
      <c r="A127" s="7"/>
    </row>
    <row r="128" s="28" customFormat="1" ht="13.5" customHeight="1" spans="1:15">
      <c r="A128" s="7"/>
    </row>
    <row r="129" s="62" customFormat="1" spans="1:15">
      <c r="A129" s="12" t="str">
        <f>'Section-Category'!A94</f>
        <v>EDUCATION</v>
      </c>
      <c r="B129" s="40" t="str">
        <f t="shared" ref="B129:M129" si="44">B$6</f>
        <v>Jan</v>
      </c>
      <c r="C129" s="40" t="str">
        <f t="shared" si="44"/>
        <v>Feb</v>
      </c>
      <c r="D129" s="40" t="str">
        <f t="shared" si="44"/>
        <v>Mar</v>
      </c>
      <c r="E129" s="40" t="str">
        <f t="shared" si="44"/>
        <v>Apr</v>
      </c>
      <c r="F129" s="40" t="str">
        <f t="shared" si="44"/>
        <v>May</v>
      </c>
      <c r="G129" s="40" t="str">
        <f t="shared" si="44"/>
        <v>Jun</v>
      </c>
      <c r="H129" s="40" t="str">
        <f t="shared" si="44"/>
        <v>Jul</v>
      </c>
      <c r="I129" s="40" t="str">
        <f t="shared" si="44"/>
        <v>Aug</v>
      </c>
      <c r="J129" s="40" t="str">
        <f t="shared" si="44"/>
        <v>Sep</v>
      </c>
      <c r="K129" s="40" t="str">
        <f t="shared" si="44"/>
        <v>Oct</v>
      </c>
      <c r="L129" s="40" t="str">
        <f t="shared" si="44"/>
        <v>Nov</v>
      </c>
      <c r="M129" s="40" t="str">
        <f t="shared" si="44"/>
        <v>Dec</v>
      </c>
      <c r="N129" s="40" t="s">
        <v>34</v>
      </c>
      <c r="O129" s="40" t="s">
        <v>35</v>
      </c>
    </row>
    <row r="130" s="28" customFormat="1" ht="15" customHeight="1" spans="1:15">
      <c r="A130" s="13" t="str">
        <f>'Section-Category'!A95</f>
        <v>Tuition</v>
      </c>
      <c r="B130" s="120" t="str">
        <f ca="1" t="array" ref="B130">IF(OR(TRIM(INDIRECT("'"&amp;B$6&amp;"'!"&amp;B$4&amp;ROW()-39))="0",INDIRECT("'"&amp;B$6&amp;"'!"&amp;B$4&amp;ROW()-39)="",NOT(ISNUMBER(INDIRECT("'"&amp;B$6&amp;"'!"&amp;B$4&amp;ROW()-39)))),"-",INDIRECT("'"&amp;B$6&amp;"'!"&amp;B$4&amp;ROW()-39))</f>
        <v>-</v>
      </c>
      <c r="C130" s="120" t="str">
        <f ca="1" t="array" ref="C130">IF(OR(TRIM(INDIRECT("'"&amp;C$6&amp;"'!"&amp;C$4&amp;ROW()-39))="0",INDIRECT("'"&amp;C$6&amp;"'!"&amp;C$4&amp;ROW()-39)="",NOT(ISNUMBER(INDIRECT("'"&amp;C$6&amp;"'!"&amp;C$4&amp;ROW()-39)))),"-",INDIRECT("'"&amp;C$6&amp;"'!"&amp;C$4&amp;ROW()-39))</f>
        <v>-</v>
      </c>
      <c r="D130" s="120" t="str">
        <f ca="1" t="array" ref="D130">IF(OR(TRIM(INDIRECT("'"&amp;D$6&amp;"'!"&amp;D$4&amp;ROW()-39))="0",INDIRECT("'"&amp;D$6&amp;"'!"&amp;D$4&amp;ROW()-39)="",NOT(ISNUMBER(INDIRECT("'"&amp;D$6&amp;"'!"&amp;D$4&amp;ROW()-39)))),"-",INDIRECT("'"&amp;D$6&amp;"'!"&amp;D$4&amp;ROW()-39))</f>
        <v>-</v>
      </c>
      <c r="E130" s="120" t="str">
        <f ca="1" t="array" ref="E130">IF(OR(TRIM(INDIRECT("'"&amp;E$6&amp;"'!"&amp;E$4&amp;ROW()-39))="0",INDIRECT("'"&amp;E$6&amp;"'!"&amp;E$4&amp;ROW()-39)="",NOT(ISNUMBER(INDIRECT("'"&amp;E$6&amp;"'!"&amp;E$4&amp;ROW()-39)))),"-",INDIRECT("'"&amp;E$6&amp;"'!"&amp;E$4&amp;ROW()-39))</f>
        <v>-</v>
      </c>
      <c r="F130" s="120" t="str">
        <f ca="1" t="array" ref="F130">IF(OR(TRIM(INDIRECT("'"&amp;F$6&amp;"'!"&amp;F$4&amp;ROW()-39))="0",INDIRECT("'"&amp;F$6&amp;"'!"&amp;F$4&amp;ROW()-39)="",NOT(ISNUMBER(INDIRECT("'"&amp;F$6&amp;"'!"&amp;F$4&amp;ROW()-39)))),"-",INDIRECT("'"&amp;F$6&amp;"'!"&amp;F$4&amp;ROW()-39))</f>
        <v>-</v>
      </c>
      <c r="G130" s="120" t="str">
        <f ca="1" t="array" ref="G130">IF(OR(TRIM(INDIRECT("'"&amp;G$6&amp;"'!"&amp;G$4&amp;ROW()-39))="0",INDIRECT("'"&amp;G$6&amp;"'!"&amp;G$4&amp;ROW()-39)="",NOT(ISNUMBER(INDIRECT("'"&amp;G$6&amp;"'!"&amp;G$4&amp;ROW()-39)))),"-",INDIRECT("'"&amp;G$6&amp;"'!"&amp;G$4&amp;ROW()-39))</f>
        <v>-</v>
      </c>
      <c r="H130" s="120" t="str">
        <f ca="1" t="array" ref="H130">IF(OR(TRIM(INDIRECT("'"&amp;H$6&amp;"'!"&amp;H$4&amp;ROW()-39))="0",INDIRECT("'"&amp;H$6&amp;"'!"&amp;H$4&amp;ROW()-39)="",NOT(ISNUMBER(INDIRECT("'"&amp;H$6&amp;"'!"&amp;H$4&amp;ROW()-39)))),"-",INDIRECT("'"&amp;H$6&amp;"'!"&amp;H$4&amp;ROW()-39))</f>
        <v>-</v>
      </c>
      <c r="I130" s="120" t="str">
        <f ca="1" t="array" ref="I130">IF(OR(TRIM(INDIRECT("'"&amp;I$6&amp;"'!"&amp;I$4&amp;ROW()-39))="0",INDIRECT("'"&amp;I$6&amp;"'!"&amp;I$4&amp;ROW()-39)="",NOT(ISNUMBER(INDIRECT("'"&amp;I$6&amp;"'!"&amp;I$4&amp;ROW()-39)))),"-",INDIRECT("'"&amp;I$6&amp;"'!"&amp;I$4&amp;ROW()-39))</f>
        <v>-</v>
      </c>
      <c r="J130" s="120" t="str">
        <f ca="1" t="array" ref="J130">IF(OR(TRIM(INDIRECT("'"&amp;J$6&amp;"'!"&amp;J$4&amp;ROW()-39))="0",INDIRECT("'"&amp;J$6&amp;"'!"&amp;J$4&amp;ROW()-39)="",NOT(ISNUMBER(INDIRECT("'"&amp;J$6&amp;"'!"&amp;J$4&amp;ROW()-39)))),"-",INDIRECT("'"&amp;J$6&amp;"'!"&amp;J$4&amp;ROW()-39))</f>
        <v>-</v>
      </c>
      <c r="K130" s="120" t="str">
        <f ca="1" t="array" ref="K130">IF(OR(TRIM(INDIRECT("'"&amp;K$6&amp;"'!"&amp;K$4&amp;ROW()-39))="0",INDIRECT("'"&amp;K$6&amp;"'!"&amp;K$4&amp;ROW()-39)="",NOT(ISNUMBER(INDIRECT("'"&amp;K$6&amp;"'!"&amp;K$4&amp;ROW()-39)))),"-",INDIRECT("'"&amp;K$6&amp;"'!"&amp;K$4&amp;ROW()-39))</f>
        <v>-</v>
      </c>
      <c r="L130" s="120" t="str">
        <f ca="1" t="array" ref="L130">IF(OR(TRIM(INDIRECT("'"&amp;L$6&amp;"'!"&amp;L$4&amp;ROW()-39))="0",INDIRECT("'"&amp;L$6&amp;"'!"&amp;L$4&amp;ROW()-39)="",NOT(ISNUMBER(INDIRECT("'"&amp;L$6&amp;"'!"&amp;L$4&amp;ROW()-39)))),"-",INDIRECT("'"&amp;L$6&amp;"'!"&amp;L$4&amp;ROW()-39))</f>
        <v>-</v>
      </c>
      <c r="M130" s="120" t="str">
        <f ca="1" t="array" ref="M130">IF(OR(TRIM(INDIRECT("'"&amp;M$6&amp;"'!"&amp;M$4&amp;ROW()-39))="0",INDIRECT("'"&amp;M$6&amp;"'!"&amp;M$4&amp;ROW()-39)="",NOT(ISNUMBER(INDIRECT("'"&amp;M$6&amp;"'!"&amp;M$4&amp;ROW()-39)))),"-",INDIRECT("'"&amp;M$6&amp;"'!"&amp;M$4&amp;ROW()-39))</f>
        <v>-</v>
      </c>
      <c r="N130" s="31">
        <v>0</v>
      </c>
      <c r="O130" s="31">
        <f ca="1" t="shared" ref="O130:O133" si="45">N130/COLUMNS(B130:M130)</f>
        <v>0</v>
      </c>
    </row>
    <row r="131" s="28" customFormat="1" ht="15" customHeight="1" spans="1:15">
      <c r="A131" s="13" t="str">
        <f>'Section-Category'!A96</f>
        <v>Books</v>
      </c>
      <c r="B131" s="120" t="str">
        <f ca="1" t="array" ref="B131">IF(OR(TRIM(INDIRECT("'"&amp;B$6&amp;"'!"&amp;B$4&amp;ROW()-39))="0",INDIRECT("'"&amp;B$6&amp;"'!"&amp;B$4&amp;ROW()-39)="",NOT(ISNUMBER(INDIRECT("'"&amp;B$6&amp;"'!"&amp;B$4&amp;ROW()-39)))),"-",INDIRECT("'"&amp;B$6&amp;"'!"&amp;B$4&amp;ROW()-39))</f>
        <v>-</v>
      </c>
      <c r="C131" s="120" t="str">
        <f ca="1" t="array" ref="C131">IF(OR(TRIM(INDIRECT("'"&amp;C$6&amp;"'!"&amp;C$4&amp;ROW()-39))="0",INDIRECT("'"&amp;C$6&amp;"'!"&amp;C$4&amp;ROW()-39)="",NOT(ISNUMBER(INDIRECT("'"&amp;C$6&amp;"'!"&amp;C$4&amp;ROW()-39)))),"-",INDIRECT("'"&amp;C$6&amp;"'!"&amp;C$4&amp;ROW()-39))</f>
        <v>-</v>
      </c>
      <c r="D131" s="120" t="str">
        <f ca="1" t="array" ref="D131">IF(OR(TRIM(INDIRECT("'"&amp;D$6&amp;"'!"&amp;D$4&amp;ROW()-39))="0",INDIRECT("'"&amp;D$6&amp;"'!"&amp;D$4&amp;ROW()-39)="",NOT(ISNUMBER(INDIRECT("'"&amp;D$6&amp;"'!"&amp;D$4&amp;ROW()-39)))),"-",INDIRECT("'"&amp;D$6&amp;"'!"&amp;D$4&amp;ROW()-39))</f>
        <v>-</v>
      </c>
      <c r="E131" s="120" t="str">
        <f ca="1" t="array" ref="E131">IF(OR(TRIM(INDIRECT("'"&amp;E$6&amp;"'!"&amp;E$4&amp;ROW()-39))="0",INDIRECT("'"&amp;E$6&amp;"'!"&amp;E$4&amp;ROW()-39)="",NOT(ISNUMBER(INDIRECT("'"&amp;E$6&amp;"'!"&amp;E$4&amp;ROW()-39)))),"-",INDIRECT("'"&amp;E$6&amp;"'!"&amp;E$4&amp;ROW()-39))</f>
        <v>-</v>
      </c>
      <c r="F131" s="120" t="str">
        <f ca="1" t="array" ref="F131">IF(OR(TRIM(INDIRECT("'"&amp;F$6&amp;"'!"&amp;F$4&amp;ROW()-39))="0",INDIRECT("'"&amp;F$6&amp;"'!"&amp;F$4&amp;ROW()-39)="",NOT(ISNUMBER(INDIRECT("'"&amp;F$6&amp;"'!"&amp;F$4&amp;ROW()-39)))),"-",INDIRECT("'"&amp;F$6&amp;"'!"&amp;F$4&amp;ROW()-39))</f>
        <v>-</v>
      </c>
      <c r="G131" s="120" t="str">
        <f ca="1" t="array" ref="G131">IF(OR(TRIM(INDIRECT("'"&amp;G$6&amp;"'!"&amp;G$4&amp;ROW()-39))="0",INDIRECT("'"&amp;G$6&amp;"'!"&amp;G$4&amp;ROW()-39)="",NOT(ISNUMBER(INDIRECT("'"&amp;G$6&amp;"'!"&amp;G$4&amp;ROW()-39)))),"-",INDIRECT("'"&amp;G$6&amp;"'!"&amp;G$4&amp;ROW()-39))</f>
        <v>-</v>
      </c>
      <c r="H131" s="120" t="str">
        <f ca="1" t="array" ref="H131">IF(OR(TRIM(INDIRECT("'"&amp;H$6&amp;"'!"&amp;H$4&amp;ROW()-39))="0",INDIRECT("'"&amp;H$6&amp;"'!"&amp;H$4&amp;ROW()-39)="",NOT(ISNUMBER(INDIRECT("'"&amp;H$6&amp;"'!"&amp;H$4&amp;ROW()-39)))),"-",INDIRECT("'"&amp;H$6&amp;"'!"&amp;H$4&amp;ROW()-39))</f>
        <v>-</v>
      </c>
      <c r="I131" s="120" t="str">
        <f ca="1" t="array" ref="I131">IF(OR(TRIM(INDIRECT("'"&amp;I$6&amp;"'!"&amp;I$4&amp;ROW()-39))="0",INDIRECT("'"&amp;I$6&amp;"'!"&amp;I$4&amp;ROW()-39)="",NOT(ISNUMBER(INDIRECT("'"&amp;I$6&amp;"'!"&amp;I$4&amp;ROW()-39)))),"-",INDIRECT("'"&amp;I$6&amp;"'!"&amp;I$4&amp;ROW()-39))</f>
        <v>-</v>
      </c>
      <c r="J131" s="120" t="str">
        <f ca="1" t="array" ref="J131">IF(OR(TRIM(INDIRECT("'"&amp;J$6&amp;"'!"&amp;J$4&amp;ROW()-39))="0",INDIRECT("'"&amp;J$6&amp;"'!"&amp;J$4&amp;ROW()-39)="",NOT(ISNUMBER(INDIRECT("'"&amp;J$6&amp;"'!"&amp;J$4&amp;ROW()-39)))),"-",INDIRECT("'"&amp;J$6&amp;"'!"&amp;J$4&amp;ROW()-39))</f>
        <v>-</v>
      </c>
      <c r="K131" s="120" t="str">
        <f ca="1" t="array" ref="K131">IF(OR(TRIM(INDIRECT("'"&amp;K$6&amp;"'!"&amp;K$4&amp;ROW()-39))="0",INDIRECT("'"&amp;K$6&amp;"'!"&amp;K$4&amp;ROW()-39)="",NOT(ISNUMBER(INDIRECT("'"&amp;K$6&amp;"'!"&amp;K$4&amp;ROW()-39)))),"-",INDIRECT("'"&amp;K$6&amp;"'!"&amp;K$4&amp;ROW()-39))</f>
        <v>-</v>
      </c>
      <c r="L131" s="120" t="str">
        <f ca="1" t="array" ref="L131">IF(OR(TRIM(INDIRECT("'"&amp;L$6&amp;"'!"&amp;L$4&amp;ROW()-39))="0",INDIRECT("'"&amp;L$6&amp;"'!"&amp;L$4&amp;ROW()-39)="",NOT(ISNUMBER(INDIRECT("'"&amp;L$6&amp;"'!"&amp;L$4&amp;ROW()-39)))),"-",INDIRECT("'"&amp;L$6&amp;"'!"&amp;L$4&amp;ROW()-39))</f>
        <v>-</v>
      </c>
      <c r="M131" s="120" t="str">
        <f ca="1" t="array" ref="M131">IF(OR(TRIM(INDIRECT("'"&amp;M$6&amp;"'!"&amp;M$4&amp;ROW()-39))="0",INDIRECT("'"&amp;M$6&amp;"'!"&amp;M$4&amp;ROW()-39)="",NOT(ISNUMBER(INDIRECT("'"&amp;M$6&amp;"'!"&amp;M$4&amp;ROW()-39)))),"-",INDIRECT("'"&amp;M$6&amp;"'!"&amp;M$4&amp;ROW()-39))</f>
        <v>-</v>
      </c>
      <c r="N131" s="31">
        <v>0</v>
      </c>
      <c r="O131" s="31">
        <f ca="1" t="shared" si="45"/>
        <v>0</v>
      </c>
    </row>
    <row r="132" s="28" customFormat="1" ht="15" customHeight="1" spans="1:15">
      <c r="A132" s="13" t="str">
        <f>'Section-Category'!A97</f>
        <v>Music Lessons</v>
      </c>
      <c r="B132" s="120" t="str">
        <f ca="1" t="array" ref="B132">IF(OR(TRIM(INDIRECT("'"&amp;B$6&amp;"'!"&amp;B$4&amp;ROW()-39))="0",INDIRECT("'"&amp;B$6&amp;"'!"&amp;B$4&amp;ROW()-39)="",NOT(ISNUMBER(INDIRECT("'"&amp;B$6&amp;"'!"&amp;B$4&amp;ROW()-39)))),"-",INDIRECT("'"&amp;B$6&amp;"'!"&amp;B$4&amp;ROW()-39))</f>
        <v>-</v>
      </c>
      <c r="C132" s="120" t="str">
        <f ca="1" t="array" ref="C132">IF(OR(TRIM(INDIRECT("'"&amp;C$6&amp;"'!"&amp;C$4&amp;ROW()-39))="0",INDIRECT("'"&amp;C$6&amp;"'!"&amp;C$4&amp;ROW()-39)="",NOT(ISNUMBER(INDIRECT("'"&amp;C$6&amp;"'!"&amp;C$4&amp;ROW()-39)))),"-",INDIRECT("'"&amp;C$6&amp;"'!"&amp;C$4&amp;ROW()-39))</f>
        <v>-</v>
      </c>
      <c r="D132" s="120" t="str">
        <f ca="1" t="array" ref="D132">IF(OR(TRIM(INDIRECT("'"&amp;D$6&amp;"'!"&amp;D$4&amp;ROW()-39))="0",INDIRECT("'"&amp;D$6&amp;"'!"&amp;D$4&amp;ROW()-39)="",NOT(ISNUMBER(INDIRECT("'"&amp;D$6&amp;"'!"&amp;D$4&amp;ROW()-39)))),"-",INDIRECT("'"&amp;D$6&amp;"'!"&amp;D$4&amp;ROW()-39))</f>
        <v>-</v>
      </c>
      <c r="E132" s="120" t="str">
        <f ca="1" t="array" ref="E132">IF(OR(TRIM(INDIRECT("'"&amp;E$6&amp;"'!"&amp;E$4&amp;ROW()-39))="0",INDIRECT("'"&amp;E$6&amp;"'!"&amp;E$4&amp;ROW()-39)="",NOT(ISNUMBER(INDIRECT("'"&amp;E$6&amp;"'!"&amp;E$4&amp;ROW()-39)))),"-",INDIRECT("'"&amp;E$6&amp;"'!"&amp;E$4&amp;ROW()-39))</f>
        <v>-</v>
      </c>
      <c r="F132" s="120" t="str">
        <f ca="1" t="array" ref="F132">IF(OR(TRIM(INDIRECT("'"&amp;F$6&amp;"'!"&amp;F$4&amp;ROW()-39))="0",INDIRECT("'"&amp;F$6&amp;"'!"&amp;F$4&amp;ROW()-39)="",NOT(ISNUMBER(INDIRECT("'"&amp;F$6&amp;"'!"&amp;F$4&amp;ROW()-39)))),"-",INDIRECT("'"&amp;F$6&amp;"'!"&amp;F$4&amp;ROW()-39))</f>
        <v>-</v>
      </c>
      <c r="G132" s="120" t="str">
        <f ca="1" t="array" ref="G132">IF(OR(TRIM(INDIRECT("'"&amp;G$6&amp;"'!"&amp;G$4&amp;ROW()-39))="0",INDIRECT("'"&amp;G$6&amp;"'!"&amp;G$4&amp;ROW()-39)="",NOT(ISNUMBER(INDIRECT("'"&amp;G$6&amp;"'!"&amp;G$4&amp;ROW()-39)))),"-",INDIRECT("'"&amp;G$6&amp;"'!"&amp;G$4&amp;ROW()-39))</f>
        <v>-</v>
      </c>
      <c r="H132" s="120" t="str">
        <f ca="1" t="array" ref="H132">IF(OR(TRIM(INDIRECT("'"&amp;H$6&amp;"'!"&amp;H$4&amp;ROW()-39))="0",INDIRECT("'"&amp;H$6&amp;"'!"&amp;H$4&amp;ROW()-39)="",NOT(ISNUMBER(INDIRECT("'"&amp;H$6&amp;"'!"&amp;H$4&amp;ROW()-39)))),"-",INDIRECT("'"&amp;H$6&amp;"'!"&amp;H$4&amp;ROW()-39))</f>
        <v>-</v>
      </c>
      <c r="I132" s="120" t="str">
        <f ca="1" t="array" ref="I132">IF(OR(TRIM(INDIRECT("'"&amp;I$6&amp;"'!"&amp;I$4&amp;ROW()-39))="0",INDIRECT("'"&amp;I$6&amp;"'!"&amp;I$4&amp;ROW()-39)="",NOT(ISNUMBER(INDIRECT("'"&amp;I$6&amp;"'!"&amp;I$4&amp;ROW()-39)))),"-",INDIRECT("'"&amp;I$6&amp;"'!"&amp;I$4&amp;ROW()-39))</f>
        <v>-</v>
      </c>
      <c r="J132" s="120" t="str">
        <f ca="1" t="array" ref="J132">IF(OR(TRIM(INDIRECT("'"&amp;J$6&amp;"'!"&amp;J$4&amp;ROW()-39))="0",INDIRECT("'"&amp;J$6&amp;"'!"&amp;J$4&amp;ROW()-39)="",NOT(ISNUMBER(INDIRECT("'"&amp;J$6&amp;"'!"&amp;J$4&amp;ROW()-39)))),"-",INDIRECT("'"&amp;J$6&amp;"'!"&amp;J$4&amp;ROW()-39))</f>
        <v>-</v>
      </c>
      <c r="K132" s="120" t="str">
        <f ca="1" t="array" ref="K132">IF(OR(TRIM(INDIRECT("'"&amp;K$6&amp;"'!"&amp;K$4&amp;ROW()-39))="0",INDIRECT("'"&amp;K$6&amp;"'!"&amp;K$4&amp;ROW()-39)="",NOT(ISNUMBER(INDIRECT("'"&amp;K$6&amp;"'!"&amp;K$4&amp;ROW()-39)))),"-",INDIRECT("'"&amp;K$6&amp;"'!"&amp;K$4&amp;ROW()-39))</f>
        <v>-</v>
      </c>
      <c r="L132" s="120" t="str">
        <f ca="1" t="array" ref="L132">IF(OR(TRIM(INDIRECT("'"&amp;L$6&amp;"'!"&amp;L$4&amp;ROW()-39))="0",INDIRECT("'"&amp;L$6&amp;"'!"&amp;L$4&amp;ROW()-39)="",NOT(ISNUMBER(INDIRECT("'"&amp;L$6&amp;"'!"&amp;L$4&amp;ROW()-39)))),"-",INDIRECT("'"&amp;L$6&amp;"'!"&amp;L$4&amp;ROW()-39))</f>
        <v>-</v>
      </c>
      <c r="M132" s="120" t="str">
        <f ca="1" t="array" ref="M132">IF(OR(TRIM(INDIRECT("'"&amp;M$6&amp;"'!"&amp;M$4&amp;ROW()-39))="0",INDIRECT("'"&amp;M$6&amp;"'!"&amp;M$4&amp;ROW()-39)="",NOT(ISNUMBER(INDIRECT("'"&amp;M$6&amp;"'!"&amp;M$4&amp;ROW()-39)))),"-",INDIRECT("'"&amp;M$6&amp;"'!"&amp;M$4&amp;ROW()-39))</f>
        <v>-</v>
      </c>
      <c r="N132" s="31">
        <v>0</v>
      </c>
      <c r="O132" s="31">
        <f ca="1" t="shared" si="45"/>
        <v>0</v>
      </c>
    </row>
    <row r="133" s="28" customFormat="1" ht="15.75" customHeight="1" spans="1:15">
      <c r="A133" s="13" t="str">
        <f>'Section-Category'!A98</f>
        <v>Other</v>
      </c>
      <c r="B133" s="120" t="str">
        <f ca="1" t="array" ref="B133">IF(OR(TRIM(INDIRECT("'"&amp;B$6&amp;"'!"&amp;B$4&amp;ROW()-39))="0",INDIRECT("'"&amp;B$6&amp;"'!"&amp;B$4&amp;ROW()-39)="",NOT(ISNUMBER(INDIRECT("'"&amp;B$6&amp;"'!"&amp;B$4&amp;ROW()-39)))),"-",INDIRECT("'"&amp;B$6&amp;"'!"&amp;B$4&amp;ROW()-39))</f>
        <v>-</v>
      </c>
      <c r="C133" s="120" t="str">
        <f ca="1" t="array" ref="C133">IF(OR(TRIM(INDIRECT("'"&amp;C$6&amp;"'!"&amp;C$4&amp;ROW()-39))="0",INDIRECT("'"&amp;C$6&amp;"'!"&amp;C$4&amp;ROW()-39)="",NOT(ISNUMBER(INDIRECT("'"&amp;C$6&amp;"'!"&amp;C$4&amp;ROW()-39)))),"-",INDIRECT("'"&amp;C$6&amp;"'!"&amp;C$4&amp;ROW()-39))</f>
        <v>-</v>
      </c>
      <c r="D133" s="120" t="str">
        <f ca="1" t="array" ref="D133">IF(OR(TRIM(INDIRECT("'"&amp;D$6&amp;"'!"&amp;D$4&amp;ROW()-39))="0",INDIRECT("'"&amp;D$6&amp;"'!"&amp;D$4&amp;ROW()-39)="",NOT(ISNUMBER(INDIRECT("'"&amp;D$6&amp;"'!"&amp;D$4&amp;ROW()-39)))),"-",INDIRECT("'"&amp;D$6&amp;"'!"&amp;D$4&amp;ROW()-39))</f>
        <v>-</v>
      </c>
      <c r="E133" s="120" t="str">
        <f ca="1" t="array" ref="E133">IF(OR(TRIM(INDIRECT("'"&amp;E$6&amp;"'!"&amp;E$4&amp;ROW()-39))="0",INDIRECT("'"&amp;E$6&amp;"'!"&amp;E$4&amp;ROW()-39)="",NOT(ISNUMBER(INDIRECT("'"&amp;E$6&amp;"'!"&amp;E$4&amp;ROW()-39)))),"-",INDIRECT("'"&amp;E$6&amp;"'!"&amp;E$4&amp;ROW()-39))</f>
        <v>-</v>
      </c>
      <c r="F133" s="120" t="str">
        <f ca="1" t="array" ref="F133">IF(OR(TRIM(INDIRECT("'"&amp;F$6&amp;"'!"&amp;F$4&amp;ROW()-39))="0",INDIRECT("'"&amp;F$6&amp;"'!"&amp;F$4&amp;ROW()-39)="",NOT(ISNUMBER(INDIRECT("'"&amp;F$6&amp;"'!"&amp;F$4&amp;ROW()-39)))),"-",INDIRECT("'"&amp;F$6&amp;"'!"&amp;F$4&amp;ROW()-39))</f>
        <v>-</v>
      </c>
      <c r="G133" s="120" t="str">
        <f ca="1" t="array" ref="G133">IF(OR(TRIM(INDIRECT("'"&amp;G$6&amp;"'!"&amp;G$4&amp;ROW()-39))="0",INDIRECT("'"&amp;G$6&amp;"'!"&amp;G$4&amp;ROW()-39)="",NOT(ISNUMBER(INDIRECT("'"&amp;G$6&amp;"'!"&amp;G$4&amp;ROW()-39)))),"-",INDIRECT("'"&amp;G$6&amp;"'!"&amp;G$4&amp;ROW()-39))</f>
        <v>-</v>
      </c>
      <c r="H133" s="120" t="str">
        <f ca="1" t="array" ref="H133">IF(OR(TRIM(INDIRECT("'"&amp;H$6&amp;"'!"&amp;H$4&amp;ROW()-39))="0",INDIRECT("'"&amp;H$6&amp;"'!"&amp;H$4&amp;ROW()-39)="",NOT(ISNUMBER(INDIRECT("'"&amp;H$6&amp;"'!"&amp;H$4&amp;ROW()-39)))),"-",INDIRECT("'"&amp;H$6&amp;"'!"&amp;H$4&amp;ROW()-39))</f>
        <v>-</v>
      </c>
      <c r="I133" s="120" t="str">
        <f ca="1" t="array" ref="I133">IF(OR(TRIM(INDIRECT("'"&amp;I$6&amp;"'!"&amp;I$4&amp;ROW()-39))="0",INDIRECT("'"&amp;I$6&amp;"'!"&amp;I$4&amp;ROW()-39)="",NOT(ISNUMBER(INDIRECT("'"&amp;I$6&amp;"'!"&amp;I$4&amp;ROW()-39)))),"-",INDIRECT("'"&amp;I$6&amp;"'!"&amp;I$4&amp;ROW()-39))</f>
        <v>-</v>
      </c>
      <c r="J133" s="120" t="str">
        <f ca="1" t="array" ref="J133">IF(OR(TRIM(INDIRECT("'"&amp;J$6&amp;"'!"&amp;J$4&amp;ROW()-39))="0",INDIRECT("'"&amp;J$6&amp;"'!"&amp;J$4&amp;ROW()-39)="",NOT(ISNUMBER(INDIRECT("'"&amp;J$6&amp;"'!"&amp;J$4&amp;ROW()-39)))),"-",INDIRECT("'"&amp;J$6&amp;"'!"&amp;J$4&amp;ROW()-39))</f>
        <v>-</v>
      </c>
      <c r="K133" s="120" t="str">
        <f ca="1" t="array" ref="K133">IF(OR(TRIM(INDIRECT("'"&amp;K$6&amp;"'!"&amp;K$4&amp;ROW()-39))="0",INDIRECT("'"&amp;K$6&amp;"'!"&amp;K$4&amp;ROW()-39)="",NOT(ISNUMBER(INDIRECT("'"&amp;K$6&amp;"'!"&amp;K$4&amp;ROW()-39)))),"-",INDIRECT("'"&amp;K$6&amp;"'!"&amp;K$4&amp;ROW()-39))</f>
        <v>-</v>
      </c>
      <c r="L133" s="120" t="str">
        <f ca="1" t="array" ref="L133">IF(OR(TRIM(INDIRECT("'"&amp;L$6&amp;"'!"&amp;L$4&amp;ROW()-39))="0",INDIRECT("'"&amp;L$6&amp;"'!"&amp;L$4&amp;ROW()-39)="",NOT(ISNUMBER(INDIRECT("'"&amp;L$6&amp;"'!"&amp;L$4&amp;ROW()-39)))),"-",INDIRECT("'"&amp;L$6&amp;"'!"&amp;L$4&amp;ROW()-39))</f>
        <v>-</v>
      </c>
      <c r="M133" s="120" t="str">
        <f ca="1" t="array" ref="M133">IF(OR(TRIM(INDIRECT("'"&amp;M$6&amp;"'!"&amp;M$4&amp;ROW()-39))="0",INDIRECT("'"&amp;M$6&amp;"'!"&amp;M$4&amp;ROW()-39)="",NOT(ISNUMBER(INDIRECT("'"&amp;M$6&amp;"'!"&amp;M$4&amp;ROW()-39)))),"-",INDIRECT("'"&amp;M$6&amp;"'!"&amp;M$4&amp;ROW()-39))</f>
        <v>-</v>
      </c>
      <c r="N133" s="31">
        <v>0</v>
      </c>
      <c r="O133" s="31">
        <f ca="1" t="shared" si="45"/>
        <v>0</v>
      </c>
    </row>
    <row r="134" s="66" customFormat="1" ht="15" customHeight="1" spans="1:15">
      <c r="A134" s="10" t="str">
        <f>'Section-Category'!A99</f>
        <v>Total EDUCATION</v>
      </c>
      <c r="B134" s="127">
        <f ca="1" t="shared" ref="B134:O134" si="46">SUM(B130:B133)</f>
        <v>0</v>
      </c>
      <c r="C134" s="127">
        <f ca="1" t="shared" si="46"/>
        <v>0</v>
      </c>
      <c r="D134" s="127">
        <f ca="1" t="shared" si="46"/>
        <v>0</v>
      </c>
      <c r="E134" s="127">
        <f ca="1" t="shared" si="46"/>
        <v>0</v>
      </c>
      <c r="F134" s="127">
        <f ca="1" t="shared" si="46"/>
        <v>0</v>
      </c>
      <c r="G134" s="127">
        <f ca="1" t="shared" si="46"/>
        <v>0</v>
      </c>
      <c r="H134" s="127">
        <f ca="1" t="shared" si="46"/>
        <v>0</v>
      </c>
      <c r="I134" s="127">
        <f ca="1" t="shared" si="46"/>
        <v>0</v>
      </c>
      <c r="J134" s="127">
        <f ca="1" t="shared" si="46"/>
        <v>0</v>
      </c>
      <c r="K134" s="127">
        <f ca="1" t="shared" si="46"/>
        <v>0</v>
      </c>
      <c r="L134" s="127">
        <f ca="1" t="shared" si="46"/>
        <v>0</v>
      </c>
      <c r="M134" s="127">
        <f ca="1" t="shared" si="46"/>
        <v>0</v>
      </c>
      <c r="N134" s="42">
        <f t="shared" si="46"/>
        <v>0</v>
      </c>
      <c r="O134" s="42">
        <f ca="1" t="shared" si="46"/>
        <v>0</v>
      </c>
    </row>
    <row r="135" s="66" customFormat="1" ht="13.5" customHeight="1" spans="1:15">
      <c r="A135" s="11" t="str">
        <f>'Section-Category'!A100</f>
        <v>% of Total Expenses</v>
      </c>
      <c r="B135" s="124" t="str">
        <f ca="1" t="shared" ref="B135:O135" si="47">IF(B$17=0," - ",B134/B$17)</f>
        <v> - </v>
      </c>
      <c r="C135" s="124" t="str">
        <f ca="1" t="shared" si="47"/>
        <v> - </v>
      </c>
      <c r="D135" s="124" t="str">
        <f ca="1" t="shared" si="47"/>
        <v> - </v>
      </c>
      <c r="E135" s="124" t="str">
        <f ca="1" t="shared" si="47"/>
        <v> - </v>
      </c>
      <c r="F135" s="124" t="str">
        <f ca="1" t="shared" si="47"/>
        <v> - </v>
      </c>
      <c r="G135" s="124" t="str">
        <f ca="1" t="shared" si="47"/>
        <v> - </v>
      </c>
      <c r="H135" s="124" t="str">
        <f ca="1" t="shared" si="47"/>
        <v> - </v>
      </c>
      <c r="I135" s="124" t="str">
        <f ca="1" t="shared" si="47"/>
        <v> - </v>
      </c>
      <c r="J135" s="124" t="str">
        <f ca="1" t="shared" si="47"/>
        <v> - </v>
      </c>
      <c r="K135" s="124" t="str">
        <f ca="1" t="shared" si="47"/>
        <v> - </v>
      </c>
      <c r="L135" s="124" t="str">
        <f ca="1" t="shared" si="47"/>
        <v> - </v>
      </c>
      <c r="M135" s="124" t="str">
        <f ca="1" t="shared" si="47"/>
        <v> - </v>
      </c>
      <c r="N135" s="125" t="str">
        <f ca="1" t="shared" si="47"/>
        <v> - </v>
      </c>
      <c r="O135" s="125" t="str">
        <f ca="1" t="shared" si="47"/>
        <v> - </v>
      </c>
    </row>
    <row r="136" s="28" customFormat="1" ht="13.5" customHeight="1" spans="1:15">
      <c r="A136" s="7"/>
    </row>
    <row r="137" s="62" customFormat="1" spans="1:15">
      <c r="A137" s="12" t="str">
        <f>'Section-Category'!A102</f>
        <v>CHARITY/GIFTS</v>
      </c>
      <c r="B137" s="40" t="str">
        <f t="shared" ref="B137:M137" si="48">B$6</f>
        <v>Jan</v>
      </c>
      <c r="C137" s="40" t="str">
        <f t="shared" si="48"/>
        <v>Feb</v>
      </c>
      <c r="D137" s="40" t="str">
        <f t="shared" si="48"/>
        <v>Mar</v>
      </c>
      <c r="E137" s="40" t="str">
        <f t="shared" si="48"/>
        <v>Apr</v>
      </c>
      <c r="F137" s="40" t="str">
        <f t="shared" si="48"/>
        <v>May</v>
      </c>
      <c r="G137" s="40" t="str">
        <f t="shared" si="48"/>
        <v>Jun</v>
      </c>
      <c r="H137" s="40" t="str">
        <f t="shared" si="48"/>
        <v>Jul</v>
      </c>
      <c r="I137" s="40" t="str">
        <f t="shared" si="48"/>
        <v>Aug</v>
      </c>
      <c r="J137" s="40" t="str">
        <f t="shared" si="48"/>
        <v>Sep</v>
      </c>
      <c r="K137" s="40" t="str">
        <f t="shared" si="48"/>
        <v>Oct</v>
      </c>
      <c r="L137" s="40" t="str">
        <f t="shared" si="48"/>
        <v>Nov</v>
      </c>
      <c r="M137" s="40" t="str">
        <f t="shared" si="48"/>
        <v>Dec</v>
      </c>
      <c r="N137" s="40" t="s">
        <v>34</v>
      </c>
      <c r="O137" s="40" t="s">
        <v>35</v>
      </c>
    </row>
    <row r="138" s="28" customFormat="1" ht="15" customHeight="1" spans="1:15">
      <c r="A138" s="13" t="str">
        <f>'Section-Category'!A103</f>
        <v>Gifts Given</v>
      </c>
      <c r="B138" s="120" t="str">
        <f ca="1" t="array" ref="B138">IF(OR(TRIM(INDIRECT("'"&amp;B$6&amp;"'!"&amp;B$4&amp;ROW()-40))="0",INDIRECT("'"&amp;B$6&amp;"'!"&amp;B$4&amp;ROW()-40)="",NOT(ISNUMBER(INDIRECT("'"&amp;B$6&amp;"'!"&amp;B$4&amp;ROW()-40)))),"-",INDIRECT("'"&amp;B$6&amp;"'!"&amp;B$4&amp;ROW()-40))</f>
        <v>-</v>
      </c>
      <c r="C138" s="120" t="str">
        <f ca="1" t="array" ref="C138">IF(OR(TRIM(INDIRECT("'"&amp;C$6&amp;"'!"&amp;C$4&amp;ROW()-40))="0",INDIRECT("'"&amp;C$6&amp;"'!"&amp;C$4&amp;ROW()-40)="",NOT(ISNUMBER(INDIRECT("'"&amp;C$6&amp;"'!"&amp;C$4&amp;ROW()-40)))),"-",INDIRECT("'"&amp;C$6&amp;"'!"&amp;C$4&amp;ROW()-40))</f>
        <v>-</v>
      </c>
      <c r="D138" s="120" t="str">
        <f ca="1" t="array" ref="D138">IF(OR(TRIM(INDIRECT("'"&amp;D$6&amp;"'!"&amp;D$4&amp;ROW()-40))="0",INDIRECT("'"&amp;D$6&amp;"'!"&amp;D$4&amp;ROW()-40)="",NOT(ISNUMBER(INDIRECT("'"&amp;D$6&amp;"'!"&amp;D$4&amp;ROW()-40)))),"-",INDIRECT("'"&amp;D$6&amp;"'!"&amp;D$4&amp;ROW()-40))</f>
        <v>-</v>
      </c>
      <c r="E138" s="120" t="str">
        <f ca="1" t="array" ref="E138">IF(OR(TRIM(INDIRECT("'"&amp;E$6&amp;"'!"&amp;E$4&amp;ROW()-40))="0",INDIRECT("'"&amp;E$6&amp;"'!"&amp;E$4&amp;ROW()-40)="",NOT(ISNUMBER(INDIRECT("'"&amp;E$6&amp;"'!"&amp;E$4&amp;ROW()-40)))),"-",INDIRECT("'"&amp;E$6&amp;"'!"&amp;E$4&amp;ROW()-40))</f>
        <v>-</v>
      </c>
      <c r="F138" s="120" t="str">
        <f ca="1" t="array" ref="F138">IF(OR(TRIM(INDIRECT("'"&amp;F$6&amp;"'!"&amp;F$4&amp;ROW()-40))="0",INDIRECT("'"&amp;F$6&amp;"'!"&amp;F$4&amp;ROW()-40)="",NOT(ISNUMBER(INDIRECT("'"&amp;F$6&amp;"'!"&amp;F$4&amp;ROW()-40)))),"-",INDIRECT("'"&amp;F$6&amp;"'!"&amp;F$4&amp;ROW()-40))</f>
        <v>-</v>
      </c>
      <c r="G138" s="120" t="str">
        <f ca="1" t="array" ref="G138">IF(OR(TRIM(INDIRECT("'"&amp;G$6&amp;"'!"&amp;G$4&amp;ROW()-40))="0",INDIRECT("'"&amp;G$6&amp;"'!"&amp;G$4&amp;ROW()-40)="",NOT(ISNUMBER(INDIRECT("'"&amp;G$6&amp;"'!"&amp;G$4&amp;ROW()-40)))),"-",INDIRECT("'"&amp;G$6&amp;"'!"&amp;G$4&amp;ROW()-40))</f>
        <v>-</v>
      </c>
      <c r="H138" s="120" t="str">
        <f ca="1" t="array" ref="H138">IF(OR(TRIM(INDIRECT("'"&amp;H$6&amp;"'!"&amp;H$4&amp;ROW()-40))="0",INDIRECT("'"&amp;H$6&amp;"'!"&amp;H$4&amp;ROW()-40)="",NOT(ISNUMBER(INDIRECT("'"&amp;H$6&amp;"'!"&amp;H$4&amp;ROW()-40)))),"-",INDIRECT("'"&amp;H$6&amp;"'!"&amp;H$4&amp;ROW()-40))</f>
        <v>-</v>
      </c>
      <c r="I138" s="120" t="str">
        <f ca="1" t="array" ref="I138">IF(OR(TRIM(INDIRECT("'"&amp;I$6&amp;"'!"&amp;I$4&amp;ROW()-40))="0",INDIRECT("'"&amp;I$6&amp;"'!"&amp;I$4&amp;ROW()-40)="",NOT(ISNUMBER(INDIRECT("'"&amp;I$6&amp;"'!"&amp;I$4&amp;ROW()-40)))),"-",INDIRECT("'"&amp;I$6&amp;"'!"&amp;I$4&amp;ROW()-40))</f>
        <v>-</v>
      </c>
      <c r="J138" s="120" t="str">
        <f ca="1" t="array" ref="J138">IF(OR(TRIM(INDIRECT("'"&amp;J$6&amp;"'!"&amp;J$4&amp;ROW()-40))="0",INDIRECT("'"&amp;J$6&amp;"'!"&amp;J$4&amp;ROW()-40)="",NOT(ISNUMBER(INDIRECT("'"&amp;J$6&amp;"'!"&amp;J$4&amp;ROW()-40)))),"-",INDIRECT("'"&amp;J$6&amp;"'!"&amp;J$4&amp;ROW()-40))</f>
        <v>-</v>
      </c>
      <c r="K138" s="120" t="str">
        <f ca="1" t="array" ref="K138">IF(OR(TRIM(INDIRECT("'"&amp;K$6&amp;"'!"&amp;K$4&amp;ROW()-40))="0",INDIRECT("'"&amp;K$6&amp;"'!"&amp;K$4&amp;ROW()-40)="",NOT(ISNUMBER(INDIRECT("'"&amp;K$6&amp;"'!"&amp;K$4&amp;ROW()-40)))),"-",INDIRECT("'"&amp;K$6&amp;"'!"&amp;K$4&amp;ROW()-40))</f>
        <v>-</v>
      </c>
      <c r="L138" s="120" t="str">
        <f ca="1" t="array" ref="L138">IF(OR(TRIM(INDIRECT("'"&amp;L$6&amp;"'!"&amp;L$4&amp;ROW()-40))="0",INDIRECT("'"&amp;L$6&amp;"'!"&amp;L$4&amp;ROW()-40)="",NOT(ISNUMBER(INDIRECT("'"&amp;L$6&amp;"'!"&amp;L$4&amp;ROW()-40)))),"-",INDIRECT("'"&amp;L$6&amp;"'!"&amp;L$4&amp;ROW()-40))</f>
        <v>-</v>
      </c>
      <c r="M138" s="120" t="str">
        <f ca="1" t="array" ref="M138">IF(OR(TRIM(INDIRECT("'"&amp;M$6&amp;"'!"&amp;M$4&amp;ROW()-40))="0",INDIRECT("'"&amp;M$6&amp;"'!"&amp;M$4&amp;ROW()-40)="",NOT(ISNUMBER(INDIRECT("'"&amp;M$6&amp;"'!"&amp;M$4&amp;ROW()-40)))),"-",INDIRECT("'"&amp;M$6&amp;"'!"&amp;M$4&amp;ROW()-40))</f>
        <v>-</v>
      </c>
      <c r="N138" s="31">
        <f ca="1">SUM(B138:M138)</f>
        <v>0</v>
      </c>
      <c r="O138" s="31">
        <f ca="1">N138/COLUMNS(B138:M138)</f>
        <v>0</v>
      </c>
    </row>
    <row r="139" s="28" customFormat="1" ht="15" customHeight="1" spans="1:15">
      <c r="A139" s="13" t="str">
        <f>'Section-Category'!A104</f>
        <v>Couple Charity</v>
      </c>
      <c r="B139" s="120" t="str">
        <f ca="1" t="array" ref="B139">IF(OR(TRIM(INDIRECT("'"&amp;B$6&amp;"'!"&amp;B$4&amp;ROW()-40))="0",INDIRECT("'"&amp;B$6&amp;"'!"&amp;B$4&amp;ROW()-40)="",NOT(ISNUMBER(INDIRECT("'"&amp;B$6&amp;"'!"&amp;B$4&amp;ROW()-40)))),"-",INDIRECT("'"&amp;B$6&amp;"'!"&amp;B$4&amp;ROW()-40))</f>
        <v>-</v>
      </c>
      <c r="C139" s="120" t="str">
        <f ca="1" t="array" ref="C139">IF(OR(TRIM(INDIRECT("'"&amp;C$6&amp;"'!"&amp;C$4&amp;ROW()-40))="0",INDIRECT("'"&amp;C$6&amp;"'!"&amp;C$4&amp;ROW()-40)="",NOT(ISNUMBER(INDIRECT("'"&amp;C$6&amp;"'!"&amp;C$4&amp;ROW()-40)))),"-",INDIRECT("'"&amp;C$6&amp;"'!"&amp;C$4&amp;ROW()-40))</f>
        <v>-</v>
      </c>
      <c r="D139" s="120" t="str">
        <f ca="1" t="array" ref="D139">IF(OR(TRIM(INDIRECT("'"&amp;D$6&amp;"'!"&amp;D$4&amp;ROW()-40))="0",INDIRECT("'"&amp;D$6&amp;"'!"&amp;D$4&amp;ROW()-40)="",NOT(ISNUMBER(INDIRECT("'"&amp;D$6&amp;"'!"&amp;D$4&amp;ROW()-40)))),"-",INDIRECT("'"&amp;D$6&amp;"'!"&amp;D$4&amp;ROW()-40))</f>
        <v>-</v>
      </c>
      <c r="E139" s="120" t="str">
        <f ca="1" t="array" ref="E139">IF(OR(TRIM(INDIRECT("'"&amp;E$6&amp;"'!"&amp;E$4&amp;ROW()-40))="0",INDIRECT("'"&amp;E$6&amp;"'!"&amp;E$4&amp;ROW()-40)="",NOT(ISNUMBER(INDIRECT("'"&amp;E$6&amp;"'!"&amp;E$4&amp;ROW()-40)))),"-",INDIRECT("'"&amp;E$6&amp;"'!"&amp;E$4&amp;ROW()-40))</f>
        <v>-</v>
      </c>
      <c r="F139" s="120" t="str">
        <f ca="1" t="array" ref="F139">IF(OR(TRIM(INDIRECT("'"&amp;F$6&amp;"'!"&amp;F$4&amp;ROW()-40))="0",INDIRECT("'"&amp;F$6&amp;"'!"&amp;F$4&amp;ROW()-40)="",NOT(ISNUMBER(INDIRECT("'"&amp;F$6&amp;"'!"&amp;F$4&amp;ROW()-40)))),"-",INDIRECT("'"&amp;F$6&amp;"'!"&amp;F$4&amp;ROW()-40))</f>
        <v>-</v>
      </c>
      <c r="G139" s="120" t="str">
        <f ca="1" t="array" ref="G139">IF(OR(TRIM(INDIRECT("'"&amp;G$6&amp;"'!"&amp;G$4&amp;ROW()-40))="0",INDIRECT("'"&amp;G$6&amp;"'!"&amp;G$4&amp;ROW()-40)="",NOT(ISNUMBER(INDIRECT("'"&amp;G$6&amp;"'!"&amp;G$4&amp;ROW()-40)))),"-",INDIRECT("'"&amp;G$6&amp;"'!"&amp;G$4&amp;ROW()-40))</f>
        <v>-</v>
      </c>
      <c r="H139" s="120" t="str">
        <f ca="1" t="array" ref="H139">IF(OR(TRIM(INDIRECT("'"&amp;H$6&amp;"'!"&amp;H$4&amp;ROW()-40))="0",INDIRECT("'"&amp;H$6&amp;"'!"&amp;H$4&amp;ROW()-40)="",NOT(ISNUMBER(INDIRECT("'"&amp;H$6&amp;"'!"&amp;H$4&amp;ROW()-40)))),"-",INDIRECT("'"&amp;H$6&amp;"'!"&amp;H$4&amp;ROW()-40))</f>
        <v>-</v>
      </c>
      <c r="I139" s="120" t="str">
        <f ca="1" t="array" ref="I139">IF(OR(TRIM(INDIRECT("'"&amp;I$6&amp;"'!"&amp;I$4&amp;ROW()-40))="0",INDIRECT("'"&amp;I$6&amp;"'!"&amp;I$4&amp;ROW()-40)="",NOT(ISNUMBER(INDIRECT("'"&amp;I$6&amp;"'!"&amp;I$4&amp;ROW()-40)))),"-",INDIRECT("'"&amp;I$6&amp;"'!"&amp;I$4&amp;ROW()-40))</f>
        <v>-</v>
      </c>
      <c r="J139" s="120" t="str">
        <f ca="1" t="array" ref="J139">IF(OR(TRIM(INDIRECT("'"&amp;J$6&amp;"'!"&amp;J$4&amp;ROW()-40))="0",INDIRECT("'"&amp;J$6&amp;"'!"&amp;J$4&amp;ROW()-40)="",NOT(ISNUMBER(INDIRECT("'"&amp;J$6&amp;"'!"&amp;J$4&amp;ROW()-40)))),"-",INDIRECT("'"&amp;J$6&amp;"'!"&amp;J$4&amp;ROW()-40))</f>
        <v>-</v>
      </c>
      <c r="K139" s="120" t="str">
        <f ca="1" t="array" ref="K139">IF(OR(TRIM(INDIRECT("'"&amp;K$6&amp;"'!"&amp;K$4&amp;ROW()-40))="0",INDIRECT("'"&amp;K$6&amp;"'!"&amp;K$4&amp;ROW()-40)="",NOT(ISNUMBER(INDIRECT("'"&amp;K$6&amp;"'!"&amp;K$4&amp;ROW()-40)))),"-",INDIRECT("'"&amp;K$6&amp;"'!"&amp;K$4&amp;ROW()-40))</f>
        <v>-</v>
      </c>
      <c r="L139" s="120" t="str">
        <f ca="1" t="array" ref="L139">IF(OR(TRIM(INDIRECT("'"&amp;L$6&amp;"'!"&amp;L$4&amp;ROW()-40))="0",INDIRECT("'"&amp;L$6&amp;"'!"&amp;L$4&amp;ROW()-40)="",NOT(ISNUMBER(INDIRECT("'"&amp;L$6&amp;"'!"&amp;L$4&amp;ROW()-40)))),"-",INDIRECT("'"&amp;L$6&amp;"'!"&amp;L$4&amp;ROW()-40))</f>
        <v>-</v>
      </c>
      <c r="M139" s="120" t="str">
        <f ca="1" t="array" ref="M139">IF(OR(TRIM(INDIRECT("'"&amp;M$6&amp;"'!"&amp;M$4&amp;ROW()-40))="0",INDIRECT("'"&amp;M$6&amp;"'!"&amp;M$4&amp;ROW()-40)="",NOT(ISNUMBER(INDIRECT("'"&amp;M$6&amp;"'!"&amp;M$4&amp;ROW()-40)))),"-",INDIRECT("'"&amp;M$6&amp;"'!"&amp;M$4&amp;ROW()-40))</f>
        <v>-</v>
      </c>
      <c r="N139" s="31">
        <v>6296.25</v>
      </c>
      <c r="O139" s="31">
        <v>524.6875</v>
      </c>
    </row>
    <row r="140" s="28" customFormat="1" ht="15" customHeight="1" spans="1:15">
      <c r="A140" s="13" t="str">
        <f>'Section-Category'!A105</f>
        <v>Mother Charity</v>
      </c>
      <c r="B140" s="120" t="str">
        <f ca="1" t="array" ref="B140">IF(OR(TRIM(INDIRECT("'"&amp;B$6&amp;"'!"&amp;B$4&amp;ROW()-40))="0",INDIRECT("'"&amp;B$6&amp;"'!"&amp;B$4&amp;ROW()-40)="",NOT(ISNUMBER(INDIRECT("'"&amp;B$6&amp;"'!"&amp;B$4&amp;ROW()-40)))),"-",INDIRECT("'"&amp;B$6&amp;"'!"&amp;B$4&amp;ROW()-40))</f>
        <v>-</v>
      </c>
      <c r="C140" s="120" t="str">
        <f ca="1" t="array" ref="C140">IF(OR(TRIM(INDIRECT("'"&amp;C$6&amp;"'!"&amp;C$4&amp;ROW()-40))="0",INDIRECT("'"&amp;C$6&amp;"'!"&amp;C$4&amp;ROW()-40)="",NOT(ISNUMBER(INDIRECT("'"&amp;C$6&amp;"'!"&amp;C$4&amp;ROW()-40)))),"-",INDIRECT("'"&amp;C$6&amp;"'!"&amp;C$4&amp;ROW()-40))</f>
        <v>-</v>
      </c>
      <c r="D140" s="120" t="str">
        <f ca="1" t="array" ref="D140">IF(OR(TRIM(INDIRECT("'"&amp;D$6&amp;"'!"&amp;D$4&amp;ROW()-40))="0",INDIRECT("'"&amp;D$6&amp;"'!"&amp;D$4&amp;ROW()-40)="",NOT(ISNUMBER(INDIRECT("'"&amp;D$6&amp;"'!"&amp;D$4&amp;ROW()-40)))),"-",INDIRECT("'"&amp;D$6&amp;"'!"&amp;D$4&amp;ROW()-40))</f>
        <v>-</v>
      </c>
      <c r="E140" s="120" t="str">
        <f ca="1" t="array" ref="E140">IF(OR(TRIM(INDIRECT("'"&amp;E$6&amp;"'!"&amp;E$4&amp;ROW()-40))="0",INDIRECT("'"&amp;E$6&amp;"'!"&amp;E$4&amp;ROW()-40)="",NOT(ISNUMBER(INDIRECT("'"&amp;E$6&amp;"'!"&amp;E$4&amp;ROW()-40)))),"-",INDIRECT("'"&amp;E$6&amp;"'!"&amp;E$4&amp;ROW()-40))</f>
        <v>-</v>
      </c>
      <c r="F140" s="120" t="str">
        <f ca="1" t="array" ref="F140">IF(OR(TRIM(INDIRECT("'"&amp;F$6&amp;"'!"&amp;F$4&amp;ROW()-40))="0",INDIRECT("'"&amp;F$6&amp;"'!"&amp;F$4&amp;ROW()-40)="",NOT(ISNUMBER(INDIRECT("'"&amp;F$6&amp;"'!"&amp;F$4&amp;ROW()-40)))),"-",INDIRECT("'"&amp;F$6&amp;"'!"&amp;F$4&amp;ROW()-40))</f>
        <v>-</v>
      </c>
      <c r="G140" s="120" t="str">
        <f ca="1" t="array" ref="G140">IF(OR(TRIM(INDIRECT("'"&amp;G$6&amp;"'!"&amp;G$4&amp;ROW()-40))="0",INDIRECT("'"&amp;G$6&amp;"'!"&amp;G$4&amp;ROW()-40)="",NOT(ISNUMBER(INDIRECT("'"&amp;G$6&amp;"'!"&amp;G$4&amp;ROW()-40)))),"-",INDIRECT("'"&amp;G$6&amp;"'!"&amp;G$4&amp;ROW()-40))</f>
        <v>-</v>
      </c>
      <c r="H140" s="120" t="str">
        <f ca="1" t="array" ref="H140">IF(OR(TRIM(INDIRECT("'"&amp;H$6&amp;"'!"&amp;H$4&amp;ROW()-40))="0",INDIRECT("'"&amp;H$6&amp;"'!"&amp;H$4&amp;ROW()-40)="",NOT(ISNUMBER(INDIRECT("'"&amp;H$6&amp;"'!"&amp;H$4&amp;ROW()-40)))),"-",INDIRECT("'"&amp;H$6&amp;"'!"&amp;H$4&amp;ROW()-40))</f>
        <v>-</v>
      </c>
      <c r="I140" s="120" t="str">
        <f ca="1" t="array" ref="I140">IF(OR(TRIM(INDIRECT("'"&amp;I$6&amp;"'!"&amp;I$4&amp;ROW()-40))="0",INDIRECT("'"&amp;I$6&amp;"'!"&amp;I$4&amp;ROW()-40)="",NOT(ISNUMBER(INDIRECT("'"&amp;I$6&amp;"'!"&amp;I$4&amp;ROW()-40)))),"-",INDIRECT("'"&amp;I$6&amp;"'!"&amp;I$4&amp;ROW()-40))</f>
        <v>-</v>
      </c>
      <c r="J140" s="120" t="str">
        <f ca="1" t="array" ref="J140">IF(OR(TRIM(INDIRECT("'"&amp;J$6&amp;"'!"&amp;J$4&amp;ROW()-40))="0",INDIRECT("'"&amp;J$6&amp;"'!"&amp;J$4&amp;ROW()-40)="",NOT(ISNUMBER(INDIRECT("'"&amp;J$6&amp;"'!"&amp;J$4&amp;ROW()-40)))),"-",INDIRECT("'"&amp;J$6&amp;"'!"&amp;J$4&amp;ROW()-40))</f>
        <v>-</v>
      </c>
      <c r="K140" s="120" t="str">
        <f ca="1" t="array" ref="K140">IF(OR(TRIM(INDIRECT("'"&amp;K$6&amp;"'!"&amp;K$4&amp;ROW()-40))="0",INDIRECT("'"&amp;K$6&amp;"'!"&amp;K$4&amp;ROW()-40)="",NOT(ISNUMBER(INDIRECT("'"&amp;K$6&amp;"'!"&amp;K$4&amp;ROW()-40)))),"-",INDIRECT("'"&amp;K$6&amp;"'!"&amp;K$4&amp;ROW()-40))</f>
        <v>-</v>
      </c>
      <c r="L140" s="120" t="str">
        <f ca="1" t="array" ref="L140">IF(OR(TRIM(INDIRECT("'"&amp;L$6&amp;"'!"&amp;L$4&amp;ROW()-40))="0",INDIRECT("'"&amp;L$6&amp;"'!"&amp;L$4&amp;ROW()-40)="",NOT(ISNUMBER(INDIRECT("'"&amp;L$6&amp;"'!"&amp;L$4&amp;ROW()-40)))),"-",INDIRECT("'"&amp;L$6&amp;"'!"&amp;L$4&amp;ROW()-40))</f>
        <v>-</v>
      </c>
      <c r="M140" s="120" t="str">
        <f ca="1" t="array" ref="M140">IF(OR(TRIM(INDIRECT("'"&amp;M$6&amp;"'!"&amp;M$4&amp;ROW()-40))="0",INDIRECT("'"&amp;M$6&amp;"'!"&amp;M$4&amp;ROW()-40)="",NOT(ISNUMBER(INDIRECT("'"&amp;M$6&amp;"'!"&amp;M$4&amp;ROW()-40)))),"-",INDIRECT("'"&amp;M$6&amp;"'!"&amp;M$4&amp;ROW()-40))</f>
        <v>-</v>
      </c>
      <c r="N140" s="31">
        <v>13126.98</v>
      </c>
      <c r="O140" s="31">
        <v>1093.915</v>
      </c>
    </row>
    <row r="141" s="28" customFormat="1" ht="15.75" customHeight="1" spans="1:15">
      <c r="A141" s="13" t="str">
        <f>'Section-Category'!A106</f>
        <v>Other</v>
      </c>
      <c r="B141" s="120" t="str">
        <f ca="1" t="array" ref="B141">IF(OR(TRIM(INDIRECT("'"&amp;B$6&amp;"'!"&amp;B$4&amp;ROW()-40))="0",INDIRECT("'"&amp;B$6&amp;"'!"&amp;B$4&amp;ROW()-40)="",NOT(ISNUMBER(INDIRECT("'"&amp;B$6&amp;"'!"&amp;B$4&amp;ROW()-40)))),"-",INDIRECT("'"&amp;B$6&amp;"'!"&amp;B$4&amp;ROW()-40))</f>
        <v>-</v>
      </c>
      <c r="C141" s="120" t="str">
        <f ca="1" t="array" ref="C141">IF(OR(TRIM(INDIRECT("'"&amp;C$6&amp;"'!"&amp;C$4&amp;ROW()-40))="0",INDIRECT("'"&amp;C$6&amp;"'!"&amp;C$4&amp;ROW()-40)="",NOT(ISNUMBER(INDIRECT("'"&amp;C$6&amp;"'!"&amp;C$4&amp;ROW()-40)))),"-",INDIRECT("'"&amp;C$6&amp;"'!"&amp;C$4&amp;ROW()-40))</f>
        <v>-</v>
      </c>
      <c r="D141" s="120" t="str">
        <f ca="1" t="array" ref="D141">IF(OR(TRIM(INDIRECT("'"&amp;D$6&amp;"'!"&amp;D$4&amp;ROW()-40))="0",INDIRECT("'"&amp;D$6&amp;"'!"&amp;D$4&amp;ROW()-40)="",NOT(ISNUMBER(INDIRECT("'"&amp;D$6&amp;"'!"&amp;D$4&amp;ROW()-40)))),"-",INDIRECT("'"&amp;D$6&amp;"'!"&amp;D$4&amp;ROW()-40))</f>
        <v>-</v>
      </c>
      <c r="E141" s="120" t="str">
        <f ca="1" t="array" ref="E141">IF(OR(TRIM(INDIRECT("'"&amp;E$6&amp;"'!"&amp;E$4&amp;ROW()-40))="0",INDIRECT("'"&amp;E$6&amp;"'!"&amp;E$4&amp;ROW()-40)="",NOT(ISNUMBER(INDIRECT("'"&amp;E$6&amp;"'!"&amp;E$4&amp;ROW()-40)))),"-",INDIRECT("'"&amp;E$6&amp;"'!"&amp;E$4&amp;ROW()-40))</f>
        <v>-</v>
      </c>
      <c r="F141" s="120" t="str">
        <f ca="1" t="array" ref="F141">IF(OR(TRIM(INDIRECT("'"&amp;F$6&amp;"'!"&amp;F$4&amp;ROW()-40))="0",INDIRECT("'"&amp;F$6&amp;"'!"&amp;F$4&amp;ROW()-40)="",NOT(ISNUMBER(INDIRECT("'"&amp;F$6&amp;"'!"&amp;F$4&amp;ROW()-40)))),"-",INDIRECT("'"&amp;F$6&amp;"'!"&amp;F$4&amp;ROW()-40))</f>
        <v>-</v>
      </c>
      <c r="G141" s="120" t="str">
        <f ca="1" t="array" ref="G141">IF(OR(TRIM(INDIRECT("'"&amp;G$6&amp;"'!"&amp;G$4&amp;ROW()-40))="0",INDIRECT("'"&amp;G$6&amp;"'!"&amp;G$4&amp;ROW()-40)="",NOT(ISNUMBER(INDIRECT("'"&amp;G$6&amp;"'!"&amp;G$4&amp;ROW()-40)))),"-",INDIRECT("'"&amp;G$6&amp;"'!"&amp;G$4&amp;ROW()-40))</f>
        <v>-</v>
      </c>
      <c r="H141" s="120" t="str">
        <f ca="1" t="array" ref="H141">IF(OR(TRIM(INDIRECT("'"&amp;H$6&amp;"'!"&amp;H$4&amp;ROW()-40))="0",INDIRECT("'"&amp;H$6&amp;"'!"&amp;H$4&amp;ROW()-40)="",NOT(ISNUMBER(INDIRECT("'"&amp;H$6&amp;"'!"&amp;H$4&amp;ROW()-40)))),"-",INDIRECT("'"&amp;H$6&amp;"'!"&amp;H$4&amp;ROW()-40))</f>
        <v>-</v>
      </c>
      <c r="I141" s="120" t="str">
        <f ca="1" t="array" ref="I141">IF(OR(TRIM(INDIRECT("'"&amp;I$6&amp;"'!"&amp;I$4&amp;ROW()-40))="0",INDIRECT("'"&amp;I$6&amp;"'!"&amp;I$4&amp;ROW()-40)="",NOT(ISNUMBER(INDIRECT("'"&amp;I$6&amp;"'!"&amp;I$4&amp;ROW()-40)))),"-",INDIRECT("'"&amp;I$6&amp;"'!"&amp;I$4&amp;ROW()-40))</f>
        <v>-</v>
      </c>
      <c r="J141" s="120" t="str">
        <f ca="1" t="array" ref="J141">IF(OR(TRIM(INDIRECT("'"&amp;J$6&amp;"'!"&amp;J$4&amp;ROW()-40))="0",INDIRECT("'"&amp;J$6&amp;"'!"&amp;J$4&amp;ROW()-40)="",NOT(ISNUMBER(INDIRECT("'"&amp;J$6&amp;"'!"&amp;J$4&amp;ROW()-40)))),"-",INDIRECT("'"&amp;J$6&amp;"'!"&amp;J$4&amp;ROW()-40))</f>
        <v>-</v>
      </c>
      <c r="K141" s="120" t="str">
        <f ca="1" t="array" ref="K141">IF(OR(TRIM(INDIRECT("'"&amp;K$6&amp;"'!"&amp;K$4&amp;ROW()-40))="0",INDIRECT("'"&amp;K$6&amp;"'!"&amp;K$4&amp;ROW()-40)="",NOT(ISNUMBER(INDIRECT("'"&amp;K$6&amp;"'!"&amp;K$4&amp;ROW()-40)))),"-",INDIRECT("'"&amp;K$6&amp;"'!"&amp;K$4&amp;ROW()-40))</f>
        <v>-</v>
      </c>
      <c r="L141" s="120" t="str">
        <f ca="1" t="array" ref="L141">IF(OR(TRIM(INDIRECT("'"&amp;L$6&amp;"'!"&amp;L$4&amp;ROW()-40))="0",INDIRECT("'"&amp;L$6&amp;"'!"&amp;L$4&amp;ROW()-40)="",NOT(ISNUMBER(INDIRECT("'"&amp;L$6&amp;"'!"&amp;L$4&amp;ROW()-40)))),"-",INDIRECT("'"&amp;L$6&amp;"'!"&amp;L$4&amp;ROW()-40))</f>
        <v>-</v>
      </c>
      <c r="M141" s="120" t="str">
        <f ca="1" t="array" ref="M141">IF(OR(TRIM(INDIRECT("'"&amp;M$6&amp;"'!"&amp;M$4&amp;ROW()-40))="0",INDIRECT("'"&amp;M$6&amp;"'!"&amp;M$4&amp;ROW()-40)="",NOT(ISNUMBER(INDIRECT("'"&amp;M$6&amp;"'!"&amp;M$4&amp;ROW()-40)))),"-",INDIRECT("'"&amp;M$6&amp;"'!"&amp;M$4&amp;ROW()-40))</f>
        <v>-</v>
      </c>
      <c r="N141" s="31">
        <f ca="1">SUM(B141:M141)</f>
        <v>0</v>
      </c>
      <c r="O141" s="31">
        <f ca="1">N141/COLUMNS(B141:M141)</f>
        <v>0</v>
      </c>
    </row>
    <row r="142" s="66" customFormat="1" ht="15" customHeight="1" spans="1:15">
      <c r="A142" s="10" t="str">
        <f>'Section-Category'!A107</f>
        <v>Total CHARITY/GIFTS</v>
      </c>
      <c r="B142" s="127">
        <f ca="1" t="shared" ref="B142:O142" si="49">SUM(B138:B141)</f>
        <v>0</v>
      </c>
      <c r="C142" s="127">
        <f ca="1" t="shared" si="49"/>
        <v>0</v>
      </c>
      <c r="D142" s="127">
        <f ca="1" t="shared" si="49"/>
        <v>0</v>
      </c>
      <c r="E142" s="127">
        <f ca="1" t="shared" si="49"/>
        <v>0</v>
      </c>
      <c r="F142" s="127">
        <f ca="1" t="shared" si="49"/>
        <v>0</v>
      </c>
      <c r="G142" s="127">
        <f ca="1" t="shared" si="49"/>
        <v>0</v>
      </c>
      <c r="H142" s="127">
        <f ca="1" t="shared" si="49"/>
        <v>0</v>
      </c>
      <c r="I142" s="127">
        <f ca="1" t="shared" si="49"/>
        <v>0</v>
      </c>
      <c r="J142" s="127">
        <f ca="1" t="shared" si="49"/>
        <v>0</v>
      </c>
      <c r="K142" s="127">
        <f ca="1" t="shared" si="49"/>
        <v>0</v>
      </c>
      <c r="L142" s="127">
        <f ca="1" t="shared" si="49"/>
        <v>0</v>
      </c>
      <c r="M142" s="127">
        <f ca="1" t="shared" si="49"/>
        <v>0</v>
      </c>
      <c r="N142" s="42">
        <f ca="1" t="shared" si="49"/>
        <v>19423.23</v>
      </c>
      <c r="O142" s="42">
        <f ca="1" t="shared" si="49"/>
        <v>1618.6025</v>
      </c>
    </row>
    <row r="143" s="66" customFormat="1" ht="13.5" customHeight="1" spans="1:15">
      <c r="A143" s="11" t="str">
        <f>'Section-Category'!A108</f>
        <v>% of Total Expenses</v>
      </c>
      <c r="B143" s="124" t="str">
        <f ca="1" t="shared" ref="B143:O143" si="50">IF(B$17=0," - ",B142/B$17)</f>
        <v> - </v>
      </c>
      <c r="C143" s="124" t="str">
        <f ca="1" t="shared" si="50"/>
        <v> - </v>
      </c>
      <c r="D143" s="124" t="str">
        <f ca="1" t="shared" si="50"/>
        <v> - </v>
      </c>
      <c r="E143" s="124" t="str">
        <f ca="1" t="shared" si="50"/>
        <v> - </v>
      </c>
      <c r="F143" s="124" t="str">
        <f ca="1" t="shared" si="50"/>
        <v> - </v>
      </c>
      <c r="G143" s="124" t="str">
        <f ca="1" t="shared" si="50"/>
        <v> - </v>
      </c>
      <c r="H143" s="124" t="str">
        <f ca="1" t="shared" si="50"/>
        <v> - </v>
      </c>
      <c r="I143" s="124" t="str">
        <f ca="1" t="shared" si="50"/>
        <v> - </v>
      </c>
      <c r="J143" s="124" t="str">
        <f ca="1" t="shared" si="50"/>
        <v> - </v>
      </c>
      <c r="K143" s="124" t="str">
        <f ca="1" t="shared" si="50"/>
        <v> - </v>
      </c>
      <c r="L143" s="124" t="str">
        <f ca="1" t="shared" si="50"/>
        <v> - </v>
      </c>
      <c r="M143" s="124" t="str">
        <f ca="1" t="shared" si="50"/>
        <v> - </v>
      </c>
      <c r="N143" s="125" t="str">
        <f ca="1" t="shared" si="50"/>
        <v> - </v>
      </c>
      <c r="O143" s="125" t="str">
        <f ca="1" t="shared" si="50"/>
        <v> - </v>
      </c>
    </row>
    <row r="144" s="28" customFormat="1" ht="13.5" customHeight="1" spans="1:15">
      <c r="A144" s="7"/>
    </row>
    <row r="145" s="62" customFormat="1" spans="1:15">
      <c r="A145" s="12" t="str">
        <f>'Section-Category'!A110</f>
        <v>OBLIGATIONS</v>
      </c>
      <c r="B145" s="40" t="str">
        <f t="shared" ref="B145:M145" si="51">B$6</f>
        <v>Jan</v>
      </c>
      <c r="C145" s="40" t="str">
        <f t="shared" si="51"/>
        <v>Feb</v>
      </c>
      <c r="D145" s="40" t="str">
        <f t="shared" si="51"/>
        <v>Mar</v>
      </c>
      <c r="E145" s="40" t="str">
        <f t="shared" si="51"/>
        <v>Apr</v>
      </c>
      <c r="F145" s="40" t="str">
        <f t="shared" si="51"/>
        <v>May</v>
      </c>
      <c r="G145" s="40" t="str">
        <f t="shared" si="51"/>
        <v>Jun</v>
      </c>
      <c r="H145" s="40" t="str">
        <f t="shared" si="51"/>
        <v>Jul</v>
      </c>
      <c r="I145" s="40" t="str">
        <f t="shared" si="51"/>
        <v>Aug</v>
      </c>
      <c r="J145" s="40" t="str">
        <f t="shared" si="51"/>
        <v>Sep</v>
      </c>
      <c r="K145" s="40" t="str">
        <f t="shared" si="51"/>
        <v>Oct</v>
      </c>
      <c r="L145" s="40" t="str">
        <f t="shared" si="51"/>
        <v>Nov</v>
      </c>
      <c r="M145" s="40" t="str">
        <f t="shared" si="51"/>
        <v>Dec</v>
      </c>
      <c r="N145" s="40" t="s">
        <v>34</v>
      </c>
      <c r="O145" s="40" t="s">
        <v>35</v>
      </c>
    </row>
    <row r="146" s="28" customFormat="1" ht="15" customHeight="1" spans="1:15">
      <c r="A146" s="13" t="str">
        <f>'Section-Category'!A111</f>
        <v>Credit Card Debt</v>
      </c>
      <c r="B146" s="120" t="str">
        <f ca="1" t="array" ref="B146">IF(OR(TRIM(INDIRECT("'"&amp;B$6&amp;"'!"&amp;B$4&amp;ROW()-41))="0",INDIRECT("'"&amp;B$6&amp;"'!"&amp;B$4&amp;ROW()-41)="",NOT(ISNUMBER(INDIRECT("'"&amp;B$6&amp;"'!"&amp;B$4&amp;ROW()-41)))),"-",INDIRECT("'"&amp;B$6&amp;"'!"&amp;B$4&amp;ROW()-41))</f>
        <v>-</v>
      </c>
      <c r="C146" s="120" t="str">
        <f ca="1" t="array" ref="C146">IF(OR(TRIM(INDIRECT("'"&amp;C$6&amp;"'!"&amp;C$4&amp;ROW()-41))="0",INDIRECT("'"&amp;C$6&amp;"'!"&amp;C$4&amp;ROW()-41)="",NOT(ISNUMBER(INDIRECT("'"&amp;C$6&amp;"'!"&amp;C$4&amp;ROW()-41)))),"-",INDIRECT("'"&amp;C$6&amp;"'!"&amp;C$4&amp;ROW()-41))</f>
        <v>-</v>
      </c>
      <c r="D146" s="120" t="str">
        <f ca="1" t="array" ref="D146">IF(OR(TRIM(INDIRECT("'"&amp;D$6&amp;"'!"&amp;D$4&amp;ROW()-41))="0",INDIRECT("'"&amp;D$6&amp;"'!"&amp;D$4&amp;ROW()-41)="",NOT(ISNUMBER(INDIRECT("'"&amp;D$6&amp;"'!"&amp;D$4&amp;ROW()-41)))),"-",INDIRECT("'"&amp;D$6&amp;"'!"&amp;D$4&amp;ROW()-41))</f>
        <v>-</v>
      </c>
      <c r="E146" s="120" t="str">
        <f ca="1" t="array" ref="E146">IF(OR(TRIM(INDIRECT("'"&amp;E$6&amp;"'!"&amp;E$4&amp;ROW()-41))="0",INDIRECT("'"&amp;E$6&amp;"'!"&amp;E$4&amp;ROW()-41)="",NOT(ISNUMBER(INDIRECT("'"&amp;E$6&amp;"'!"&amp;E$4&amp;ROW()-41)))),"-",INDIRECT("'"&amp;E$6&amp;"'!"&amp;E$4&amp;ROW()-41))</f>
        <v>-</v>
      </c>
      <c r="F146" s="120" t="str">
        <f ca="1" t="array" ref="F146">IF(OR(TRIM(INDIRECT("'"&amp;F$6&amp;"'!"&amp;F$4&amp;ROW()-41))="0",INDIRECT("'"&amp;F$6&amp;"'!"&amp;F$4&amp;ROW()-41)="",NOT(ISNUMBER(INDIRECT("'"&amp;F$6&amp;"'!"&amp;F$4&amp;ROW()-41)))),"-",INDIRECT("'"&amp;F$6&amp;"'!"&amp;F$4&amp;ROW()-41))</f>
        <v>-</v>
      </c>
      <c r="G146" s="120" t="str">
        <f ca="1" t="array" ref="G146">IF(OR(TRIM(INDIRECT("'"&amp;G$6&amp;"'!"&amp;G$4&amp;ROW()-41))="0",INDIRECT("'"&amp;G$6&amp;"'!"&amp;G$4&amp;ROW()-41)="",NOT(ISNUMBER(INDIRECT("'"&amp;G$6&amp;"'!"&amp;G$4&amp;ROW()-41)))),"-",INDIRECT("'"&amp;G$6&amp;"'!"&amp;G$4&amp;ROW()-41))</f>
        <v>-</v>
      </c>
      <c r="H146" s="120" t="str">
        <f ca="1" t="array" ref="H146">IF(OR(TRIM(INDIRECT("'"&amp;H$6&amp;"'!"&amp;H$4&amp;ROW()-41))="0",INDIRECT("'"&amp;H$6&amp;"'!"&amp;H$4&amp;ROW()-41)="",NOT(ISNUMBER(INDIRECT("'"&amp;H$6&amp;"'!"&amp;H$4&amp;ROW()-41)))),"-",INDIRECT("'"&amp;H$6&amp;"'!"&amp;H$4&amp;ROW()-41))</f>
        <v>-</v>
      </c>
      <c r="I146" s="120" t="str">
        <f ca="1" t="array" ref="I146">IF(OR(TRIM(INDIRECT("'"&amp;I$6&amp;"'!"&amp;I$4&amp;ROW()-41))="0",INDIRECT("'"&amp;I$6&amp;"'!"&amp;I$4&amp;ROW()-41)="",NOT(ISNUMBER(INDIRECT("'"&amp;I$6&amp;"'!"&amp;I$4&amp;ROW()-41)))),"-",INDIRECT("'"&amp;I$6&amp;"'!"&amp;I$4&amp;ROW()-41))</f>
        <v>-</v>
      </c>
      <c r="J146" s="120" t="str">
        <f ca="1" t="array" ref="J146">IF(OR(TRIM(INDIRECT("'"&amp;J$6&amp;"'!"&amp;J$4&amp;ROW()-41))="0",INDIRECT("'"&amp;J$6&amp;"'!"&amp;J$4&amp;ROW()-41)="",NOT(ISNUMBER(INDIRECT("'"&amp;J$6&amp;"'!"&amp;J$4&amp;ROW()-41)))),"-",INDIRECT("'"&amp;J$6&amp;"'!"&amp;J$4&amp;ROW()-41))</f>
        <v>-</v>
      </c>
      <c r="K146" s="120" t="str">
        <f ca="1" t="array" ref="K146">IF(OR(TRIM(INDIRECT("'"&amp;K$6&amp;"'!"&amp;K$4&amp;ROW()-41))="0",INDIRECT("'"&amp;K$6&amp;"'!"&amp;K$4&amp;ROW()-41)="",NOT(ISNUMBER(INDIRECT("'"&amp;K$6&amp;"'!"&amp;K$4&amp;ROW()-41)))),"-",INDIRECT("'"&amp;K$6&amp;"'!"&amp;K$4&amp;ROW()-41))</f>
        <v>-</v>
      </c>
      <c r="L146" s="120" t="str">
        <f ca="1" t="array" ref="L146">IF(OR(TRIM(INDIRECT("'"&amp;L$6&amp;"'!"&amp;L$4&amp;ROW()-41))="0",INDIRECT("'"&amp;L$6&amp;"'!"&amp;L$4&amp;ROW()-41)="",NOT(ISNUMBER(INDIRECT("'"&amp;L$6&amp;"'!"&amp;L$4&amp;ROW()-41)))),"-",INDIRECT("'"&amp;L$6&amp;"'!"&amp;L$4&amp;ROW()-41))</f>
        <v>-</v>
      </c>
      <c r="M146" s="120" t="str">
        <f ca="1" t="array" ref="M146">IF(OR(TRIM(INDIRECT("'"&amp;M$6&amp;"'!"&amp;M$4&amp;ROW()-41))="0",INDIRECT("'"&amp;M$6&amp;"'!"&amp;M$4&amp;ROW()-41)="",NOT(ISNUMBER(INDIRECT("'"&amp;M$6&amp;"'!"&amp;M$4&amp;ROW()-41)))),"-",INDIRECT("'"&amp;M$6&amp;"'!"&amp;M$4&amp;ROW()-41))</f>
        <v>-</v>
      </c>
      <c r="N146" s="31">
        <f ca="1" t="shared" ref="N146:N149" si="52">SUM(B146:M146)</f>
        <v>0</v>
      </c>
      <c r="O146" s="31">
        <f ca="1" t="shared" ref="O146:O149" si="53">N146/COLUMNS(B146:M146)</f>
        <v>0</v>
      </c>
    </row>
    <row r="147" s="28" customFormat="1" ht="15" customHeight="1" spans="1:15">
      <c r="A147" s="13" t="str">
        <f>'Section-Category'!A112</f>
        <v>Punjab ST on CC Fee @16</v>
      </c>
      <c r="B147" s="120" t="str">
        <f ca="1" t="array" ref="B147">IF(OR(TRIM(INDIRECT("'"&amp;B$6&amp;"'!"&amp;B$4&amp;ROW()-41))="0",INDIRECT("'"&amp;B$6&amp;"'!"&amp;B$4&amp;ROW()-41)="",NOT(ISNUMBER(INDIRECT("'"&amp;B$6&amp;"'!"&amp;B$4&amp;ROW()-41)))),"-",INDIRECT("'"&amp;B$6&amp;"'!"&amp;B$4&amp;ROW()-41))</f>
        <v>-</v>
      </c>
      <c r="C147" s="120" t="str">
        <f ca="1" t="array" ref="C147">IF(OR(TRIM(INDIRECT("'"&amp;C$6&amp;"'!"&amp;C$4&amp;ROW()-41))="0",INDIRECT("'"&amp;C$6&amp;"'!"&amp;C$4&amp;ROW()-41)="",NOT(ISNUMBER(INDIRECT("'"&amp;C$6&amp;"'!"&amp;C$4&amp;ROW()-41)))),"-",INDIRECT("'"&amp;C$6&amp;"'!"&amp;C$4&amp;ROW()-41))</f>
        <v>-</v>
      </c>
      <c r="D147" s="120" t="str">
        <f ca="1" t="array" ref="D147">IF(OR(TRIM(INDIRECT("'"&amp;D$6&amp;"'!"&amp;D$4&amp;ROW()-41))="0",INDIRECT("'"&amp;D$6&amp;"'!"&amp;D$4&amp;ROW()-41)="",NOT(ISNUMBER(INDIRECT("'"&amp;D$6&amp;"'!"&amp;D$4&amp;ROW()-41)))),"-",INDIRECT("'"&amp;D$6&amp;"'!"&amp;D$4&amp;ROW()-41))</f>
        <v>-</v>
      </c>
      <c r="E147" s="120" t="str">
        <f ca="1" t="array" ref="E147">IF(OR(TRIM(INDIRECT("'"&amp;E$6&amp;"'!"&amp;E$4&amp;ROW()-41))="0",INDIRECT("'"&amp;E$6&amp;"'!"&amp;E$4&amp;ROW()-41)="",NOT(ISNUMBER(INDIRECT("'"&amp;E$6&amp;"'!"&amp;E$4&amp;ROW()-41)))),"-",INDIRECT("'"&amp;E$6&amp;"'!"&amp;E$4&amp;ROW()-41))</f>
        <v>-</v>
      </c>
      <c r="F147" s="120" t="str">
        <f ca="1" t="array" ref="F147">IF(OR(TRIM(INDIRECT("'"&amp;F$6&amp;"'!"&amp;F$4&amp;ROW()-41))="0",INDIRECT("'"&amp;F$6&amp;"'!"&amp;F$4&amp;ROW()-41)="",NOT(ISNUMBER(INDIRECT("'"&amp;F$6&amp;"'!"&amp;F$4&amp;ROW()-41)))),"-",INDIRECT("'"&amp;F$6&amp;"'!"&amp;F$4&amp;ROW()-41))</f>
        <v>-</v>
      </c>
      <c r="G147" s="120" t="str">
        <f ca="1" t="array" ref="G147">IF(OR(TRIM(INDIRECT("'"&amp;G$6&amp;"'!"&amp;G$4&amp;ROW()-41))="0",INDIRECT("'"&amp;G$6&amp;"'!"&amp;G$4&amp;ROW()-41)="",NOT(ISNUMBER(INDIRECT("'"&amp;G$6&amp;"'!"&amp;G$4&amp;ROW()-41)))),"-",INDIRECT("'"&amp;G$6&amp;"'!"&amp;G$4&amp;ROW()-41))</f>
        <v>-</v>
      </c>
      <c r="H147" s="120" t="str">
        <f ca="1" t="array" ref="H147">IF(OR(TRIM(INDIRECT("'"&amp;H$6&amp;"'!"&amp;H$4&amp;ROW()-41))="0",INDIRECT("'"&amp;H$6&amp;"'!"&amp;H$4&amp;ROW()-41)="",NOT(ISNUMBER(INDIRECT("'"&amp;H$6&amp;"'!"&amp;H$4&amp;ROW()-41)))),"-",INDIRECT("'"&amp;H$6&amp;"'!"&amp;H$4&amp;ROW()-41))</f>
        <v>-</v>
      </c>
      <c r="I147" s="120" t="str">
        <f ca="1" t="array" ref="I147">IF(OR(TRIM(INDIRECT("'"&amp;I$6&amp;"'!"&amp;I$4&amp;ROW()-41))="0",INDIRECT("'"&amp;I$6&amp;"'!"&amp;I$4&amp;ROW()-41)="",NOT(ISNUMBER(INDIRECT("'"&amp;I$6&amp;"'!"&amp;I$4&amp;ROW()-41)))),"-",INDIRECT("'"&amp;I$6&amp;"'!"&amp;I$4&amp;ROW()-41))</f>
        <v>-</v>
      </c>
      <c r="J147" s="120" t="str">
        <f ca="1" t="array" ref="J147">IF(OR(TRIM(INDIRECT("'"&amp;J$6&amp;"'!"&amp;J$4&amp;ROW()-41))="0",INDIRECT("'"&amp;J$6&amp;"'!"&amp;J$4&amp;ROW()-41)="",NOT(ISNUMBER(INDIRECT("'"&amp;J$6&amp;"'!"&amp;J$4&amp;ROW()-41)))),"-",INDIRECT("'"&amp;J$6&amp;"'!"&amp;J$4&amp;ROW()-41))</f>
        <v>-</v>
      </c>
      <c r="K147" s="120" t="str">
        <f ca="1" t="array" ref="K147">IF(OR(TRIM(INDIRECT("'"&amp;K$6&amp;"'!"&amp;K$4&amp;ROW()-41))="0",INDIRECT("'"&amp;K$6&amp;"'!"&amp;K$4&amp;ROW()-41)="",NOT(ISNUMBER(INDIRECT("'"&amp;K$6&amp;"'!"&amp;K$4&amp;ROW()-41)))),"-",INDIRECT("'"&amp;K$6&amp;"'!"&amp;K$4&amp;ROW()-41))</f>
        <v>-</v>
      </c>
      <c r="L147" s="120" t="str">
        <f ca="1" t="array" ref="L147">IF(OR(TRIM(INDIRECT("'"&amp;L$6&amp;"'!"&amp;L$4&amp;ROW()-41))="0",INDIRECT("'"&amp;L$6&amp;"'!"&amp;L$4&amp;ROW()-41)="",NOT(ISNUMBER(INDIRECT("'"&amp;L$6&amp;"'!"&amp;L$4&amp;ROW()-41)))),"-",INDIRECT("'"&amp;L$6&amp;"'!"&amp;L$4&amp;ROW()-41))</f>
        <v>-</v>
      </c>
      <c r="M147" s="120" t="str">
        <f ca="1" t="array" ref="M147">IF(OR(TRIM(INDIRECT("'"&amp;M$6&amp;"'!"&amp;M$4&amp;ROW()-41))="0",INDIRECT("'"&amp;M$6&amp;"'!"&amp;M$4&amp;ROW()-41)="",NOT(ISNUMBER(INDIRECT("'"&amp;M$6&amp;"'!"&amp;M$4&amp;ROW()-41)))),"-",INDIRECT("'"&amp;M$6&amp;"'!"&amp;M$4&amp;ROW()-41))</f>
        <v>-</v>
      </c>
      <c r="N147" s="31">
        <f ca="1" t="shared" si="52"/>
        <v>0</v>
      </c>
      <c r="O147" s="31">
        <f ca="1" t="shared" si="53"/>
        <v>0</v>
      </c>
    </row>
    <row r="148" s="28" customFormat="1" ht="15" customHeight="1" spans="1:15">
      <c r="A148" s="13" t="str">
        <f>'Section-Category'!A113</f>
        <v>Advance Tax 5%</v>
      </c>
      <c r="B148" s="120" t="str">
        <f ca="1" t="array" ref="B148">IF(OR(TRIM(INDIRECT("'"&amp;B$6&amp;"'!"&amp;B$4&amp;ROW()-41))="0",INDIRECT("'"&amp;B$6&amp;"'!"&amp;B$4&amp;ROW()-41)="",NOT(ISNUMBER(INDIRECT("'"&amp;B$6&amp;"'!"&amp;B$4&amp;ROW()-41)))),"-",INDIRECT("'"&amp;B$6&amp;"'!"&amp;B$4&amp;ROW()-41))</f>
        <v>-</v>
      </c>
      <c r="C148" s="120" t="str">
        <f ca="1" t="array" ref="C148">IF(OR(TRIM(INDIRECT("'"&amp;C$6&amp;"'!"&amp;C$4&amp;ROW()-41))="0",INDIRECT("'"&amp;C$6&amp;"'!"&amp;C$4&amp;ROW()-41)="",NOT(ISNUMBER(INDIRECT("'"&amp;C$6&amp;"'!"&amp;C$4&amp;ROW()-41)))),"-",INDIRECT("'"&amp;C$6&amp;"'!"&amp;C$4&amp;ROW()-41))</f>
        <v>-</v>
      </c>
      <c r="D148" s="120" t="str">
        <f ca="1" t="array" ref="D148">IF(OR(TRIM(INDIRECT("'"&amp;D$6&amp;"'!"&amp;D$4&amp;ROW()-41))="0",INDIRECT("'"&amp;D$6&amp;"'!"&amp;D$4&amp;ROW()-41)="",NOT(ISNUMBER(INDIRECT("'"&amp;D$6&amp;"'!"&amp;D$4&amp;ROW()-41)))),"-",INDIRECT("'"&amp;D$6&amp;"'!"&amp;D$4&amp;ROW()-41))</f>
        <v>-</v>
      </c>
      <c r="E148" s="120" t="str">
        <f ca="1" t="array" ref="E148">IF(OR(TRIM(INDIRECT("'"&amp;E$6&amp;"'!"&amp;E$4&amp;ROW()-41))="0",INDIRECT("'"&amp;E$6&amp;"'!"&amp;E$4&amp;ROW()-41)="",NOT(ISNUMBER(INDIRECT("'"&amp;E$6&amp;"'!"&amp;E$4&amp;ROW()-41)))),"-",INDIRECT("'"&amp;E$6&amp;"'!"&amp;E$4&amp;ROW()-41))</f>
        <v>-</v>
      </c>
      <c r="F148" s="120" t="str">
        <f ca="1" t="array" ref="F148">IF(OR(TRIM(INDIRECT("'"&amp;F$6&amp;"'!"&amp;F$4&amp;ROW()-41))="0",INDIRECT("'"&amp;F$6&amp;"'!"&amp;F$4&amp;ROW()-41)="",NOT(ISNUMBER(INDIRECT("'"&amp;F$6&amp;"'!"&amp;F$4&amp;ROW()-41)))),"-",INDIRECT("'"&amp;F$6&amp;"'!"&amp;F$4&amp;ROW()-41))</f>
        <v>-</v>
      </c>
      <c r="G148" s="120" t="str">
        <f ca="1" t="array" ref="G148">IF(OR(TRIM(INDIRECT("'"&amp;G$6&amp;"'!"&amp;G$4&amp;ROW()-41))="0",INDIRECT("'"&amp;G$6&amp;"'!"&amp;G$4&amp;ROW()-41)="",NOT(ISNUMBER(INDIRECT("'"&amp;G$6&amp;"'!"&amp;G$4&amp;ROW()-41)))),"-",INDIRECT("'"&amp;G$6&amp;"'!"&amp;G$4&amp;ROW()-41))</f>
        <v>-</v>
      </c>
      <c r="H148" s="120" t="str">
        <f ca="1" t="array" ref="H148">IF(OR(TRIM(INDIRECT("'"&amp;H$6&amp;"'!"&amp;H$4&amp;ROW()-41))="0",INDIRECT("'"&amp;H$6&amp;"'!"&amp;H$4&amp;ROW()-41)="",NOT(ISNUMBER(INDIRECT("'"&amp;H$6&amp;"'!"&amp;H$4&amp;ROW()-41)))),"-",INDIRECT("'"&amp;H$6&amp;"'!"&amp;H$4&amp;ROW()-41))</f>
        <v>-</v>
      </c>
      <c r="I148" s="120" t="str">
        <f ca="1" t="array" ref="I148">IF(OR(TRIM(INDIRECT("'"&amp;I$6&amp;"'!"&amp;I$4&amp;ROW()-41))="0",INDIRECT("'"&amp;I$6&amp;"'!"&amp;I$4&amp;ROW()-41)="",NOT(ISNUMBER(INDIRECT("'"&amp;I$6&amp;"'!"&amp;I$4&amp;ROW()-41)))),"-",INDIRECT("'"&amp;I$6&amp;"'!"&amp;I$4&amp;ROW()-41))</f>
        <v>-</v>
      </c>
      <c r="J148" s="120" t="str">
        <f ca="1" t="array" ref="J148">IF(OR(TRIM(INDIRECT("'"&amp;J$6&amp;"'!"&amp;J$4&amp;ROW()-41))="0",INDIRECT("'"&amp;J$6&amp;"'!"&amp;J$4&amp;ROW()-41)="",NOT(ISNUMBER(INDIRECT("'"&amp;J$6&amp;"'!"&amp;J$4&amp;ROW()-41)))),"-",INDIRECT("'"&amp;J$6&amp;"'!"&amp;J$4&amp;ROW()-41))</f>
        <v>-</v>
      </c>
      <c r="K148" s="120" t="str">
        <f ca="1" t="array" ref="K148">IF(OR(TRIM(INDIRECT("'"&amp;K$6&amp;"'!"&amp;K$4&amp;ROW()-41))="0",INDIRECT("'"&amp;K$6&amp;"'!"&amp;K$4&amp;ROW()-41)="",NOT(ISNUMBER(INDIRECT("'"&amp;K$6&amp;"'!"&amp;K$4&amp;ROW()-41)))),"-",INDIRECT("'"&amp;K$6&amp;"'!"&amp;K$4&amp;ROW()-41))</f>
        <v>-</v>
      </c>
      <c r="L148" s="120" t="str">
        <f ca="1" t="array" ref="L148">IF(OR(TRIM(INDIRECT("'"&amp;L$6&amp;"'!"&amp;L$4&amp;ROW()-41))="0",INDIRECT("'"&amp;L$6&amp;"'!"&amp;L$4&amp;ROW()-41)="",NOT(ISNUMBER(INDIRECT("'"&amp;L$6&amp;"'!"&amp;L$4&amp;ROW()-41)))),"-",INDIRECT("'"&amp;L$6&amp;"'!"&amp;L$4&amp;ROW()-41))</f>
        <v>-</v>
      </c>
      <c r="M148" s="120" t="str">
        <f ca="1" t="array" ref="M148">IF(OR(TRIM(INDIRECT("'"&amp;M$6&amp;"'!"&amp;M$4&amp;ROW()-41))="0",INDIRECT("'"&amp;M$6&amp;"'!"&amp;M$4&amp;ROW()-41)="",NOT(ISNUMBER(INDIRECT("'"&amp;M$6&amp;"'!"&amp;M$4&amp;ROW()-41)))),"-",INDIRECT("'"&amp;M$6&amp;"'!"&amp;M$4&amp;ROW()-41))</f>
        <v>-</v>
      </c>
      <c r="N148" s="31">
        <f ca="1" t="shared" si="52"/>
        <v>0</v>
      </c>
      <c r="O148" s="31">
        <f ca="1" t="shared" si="53"/>
        <v>0</v>
      </c>
    </row>
    <row r="149" s="28" customFormat="1" ht="15.75" customHeight="1" spans="1:15">
      <c r="A149" s="13" t="str">
        <f>'Section-Category'!A114</f>
        <v>Other</v>
      </c>
      <c r="B149" s="120" t="str">
        <f ca="1" t="array" ref="B149">IF(OR(TRIM(INDIRECT("'"&amp;B$6&amp;"'!"&amp;B$4&amp;ROW()-41))="0",INDIRECT("'"&amp;B$6&amp;"'!"&amp;B$4&amp;ROW()-41)="",NOT(ISNUMBER(INDIRECT("'"&amp;B$6&amp;"'!"&amp;B$4&amp;ROW()-41)))),"-",INDIRECT("'"&amp;B$6&amp;"'!"&amp;B$4&amp;ROW()-41))</f>
        <v>-</v>
      </c>
      <c r="C149" s="120" t="str">
        <f ca="1" t="array" ref="C149">IF(OR(TRIM(INDIRECT("'"&amp;C$6&amp;"'!"&amp;C$4&amp;ROW()-41))="0",INDIRECT("'"&amp;C$6&amp;"'!"&amp;C$4&amp;ROW()-41)="",NOT(ISNUMBER(INDIRECT("'"&amp;C$6&amp;"'!"&amp;C$4&amp;ROW()-41)))),"-",INDIRECT("'"&amp;C$6&amp;"'!"&amp;C$4&amp;ROW()-41))</f>
        <v>-</v>
      </c>
      <c r="D149" s="120" t="str">
        <f ca="1" t="array" ref="D149">IF(OR(TRIM(INDIRECT("'"&amp;D$6&amp;"'!"&amp;D$4&amp;ROW()-41))="0",INDIRECT("'"&amp;D$6&amp;"'!"&amp;D$4&amp;ROW()-41)="",NOT(ISNUMBER(INDIRECT("'"&amp;D$6&amp;"'!"&amp;D$4&amp;ROW()-41)))),"-",INDIRECT("'"&amp;D$6&amp;"'!"&amp;D$4&amp;ROW()-41))</f>
        <v>-</v>
      </c>
      <c r="E149" s="120" t="str">
        <f ca="1" t="array" ref="E149">IF(OR(TRIM(INDIRECT("'"&amp;E$6&amp;"'!"&amp;E$4&amp;ROW()-41))="0",INDIRECT("'"&amp;E$6&amp;"'!"&amp;E$4&amp;ROW()-41)="",NOT(ISNUMBER(INDIRECT("'"&amp;E$6&amp;"'!"&amp;E$4&amp;ROW()-41)))),"-",INDIRECT("'"&amp;E$6&amp;"'!"&amp;E$4&amp;ROW()-41))</f>
        <v>-</v>
      </c>
      <c r="F149" s="120" t="str">
        <f ca="1" t="array" ref="F149">IF(OR(TRIM(INDIRECT("'"&amp;F$6&amp;"'!"&amp;F$4&amp;ROW()-41))="0",INDIRECT("'"&amp;F$6&amp;"'!"&amp;F$4&amp;ROW()-41)="",NOT(ISNUMBER(INDIRECT("'"&amp;F$6&amp;"'!"&amp;F$4&amp;ROW()-41)))),"-",INDIRECT("'"&amp;F$6&amp;"'!"&amp;F$4&amp;ROW()-41))</f>
        <v>-</v>
      </c>
      <c r="G149" s="120" t="str">
        <f ca="1" t="array" ref="G149">IF(OR(TRIM(INDIRECT("'"&amp;G$6&amp;"'!"&amp;G$4&amp;ROW()-41))="0",INDIRECT("'"&amp;G$6&amp;"'!"&amp;G$4&amp;ROW()-41)="",NOT(ISNUMBER(INDIRECT("'"&amp;G$6&amp;"'!"&amp;G$4&amp;ROW()-41)))),"-",INDIRECT("'"&amp;G$6&amp;"'!"&amp;G$4&amp;ROW()-41))</f>
        <v>-</v>
      </c>
      <c r="H149" s="120" t="str">
        <f ca="1" t="array" ref="H149">IF(OR(TRIM(INDIRECT("'"&amp;H$6&amp;"'!"&amp;H$4&amp;ROW()-41))="0",INDIRECT("'"&amp;H$6&amp;"'!"&amp;H$4&amp;ROW()-41)="",NOT(ISNUMBER(INDIRECT("'"&amp;H$6&amp;"'!"&amp;H$4&amp;ROW()-41)))),"-",INDIRECT("'"&amp;H$6&amp;"'!"&amp;H$4&amp;ROW()-41))</f>
        <v>-</v>
      </c>
      <c r="I149" s="120" t="str">
        <f ca="1" t="array" ref="I149">IF(OR(TRIM(INDIRECT("'"&amp;I$6&amp;"'!"&amp;I$4&amp;ROW()-41))="0",INDIRECT("'"&amp;I$6&amp;"'!"&amp;I$4&amp;ROW()-41)="",NOT(ISNUMBER(INDIRECT("'"&amp;I$6&amp;"'!"&amp;I$4&amp;ROW()-41)))),"-",INDIRECT("'"&amp;I$6&amp;"'!"&amp;I$4&amp;ROW()-41))</f>
        <v>-</v>
      </c>
      <c r="J149" s="120" t="str">
        <f ca="1" t="array" ref="J149">IF(OR(TRIM(INDIRECT("'"&amp;J$6&amp;"'!"&amp;J$4&amp;ROW()-41))="0",INDIRECT("'"&amp;J$6&amp;"'!"&amp;J$4&amp;ROW()-41)="",NOT(ISNUMBER(INDIRECT("'"&amp;J$6&amp;"'!"&amp;J$4&amp;ROW()-41)))),"-",INDIRECT("'"&amp;J$6&amp;"'!"&amp;J$4&amp;ROW()-41))</f>
        <v>-</v>
      </c>
      <c r="K149" s="120" t="str">
        <f ca="1" t="array" ref="K149">IF(OR(TRIM(INDIRECT("'"&amp;K$6&amp;"'!"&amp;K$4&amp;ROW()-41))="0",INDIRECT("'"&amp;K$6&amp;"'!"&amp;K$4&amp;ROW()-41)="",NOT(ISNUMBER(INDIRECT("'"&amp;K$6&amp;"'!"&amp;K$4&amp;ROW()-41)))),"-",INDIRECT("'"&amp;K$6&amp;"'!"&amp;K$4&amp;ROW()-41))</f>
        <v>-</v>
      </c>
      <c r="L149" s="120" t="str">
        <f ca="1" t="array" ref="L149">IF(OR(TRIM(INDIRECT("'"&amp;L$6&amp;"'!"&amp;L$4&amp;ROW()-41))="0",INDIRECT("'"&amp;L$6&amp;"'!"&amp;L$4&amp;ROW()-41)="",NOT(ISNUMBER(INDIRECT("'"&amp;L$6&amp;"'!"&amp;L$4&amp;ROW()-41)))),"-",INDIRECT("'"&amp;L$6&amp;"'!"&amp;L$4&amp;ROW()-41))</f>
        <v>-</v>
      </c>
      <c r="M149" s="120" t="str">
        <f ca="1" t="array" ref="M149">IF(OR(TRIM(INDIRECT("'"&amp;M$6&amp;"'!"&amp;M$4&amp;ROW()-41))="0",INDIRECT("'"&amp;M$6&amp;"'!"&amp;M$4&amp;ROW()-41)="",NOT(ISNUMBER(INDIRECT("'"&amp;M$6&amp;"'!"&amp;M$4&amp;ROW()-41)))),"-",INDIRECT("'"&amp;M$6&amp;"'!"&amp;M$4&amp;ROW()-41))</f>
        <v>-</v>
      </c>
      <c r="N149" s="31">
        <f ca="1" t="shared" si="52"/>
        <v>0</v>
      </c>
      <c r="O149" s="31">
        <f ca="1" t="shared" si="53"/>
        <v>0</v>
      </c>
    </row>
    <row r="150" s="66" customFormat="1" ht="15" customHeight="1" spans="1:15">
      <c r="A150" s="10" t="str">
        <f>'Section-Category'!A115</f>
        <v>Total OBLIGATIONS</v>
      </c>
      <c r="B150" s="123">
        <f ca="1" t="shared" ref="B150:O150" si="54">SUM(B146:B149)</f>
        <v>0</v>
      </c>
      <c r="C150" s="123">
        <f ca="1" t="shared" si="54"/>
        <v>0</v>
      </c>
      <c r="D150" s="123">
        <f ca="1" t="shared" si="54"/>
        <v>0</v>
      </c>
      <c r="E150" s="123">
        <f ca="1" t="shared" si="54"/>
        <v>0</v>
      </c>
      <c r="F150" s="123">
        <f ca="1" t="shared" si="54"/>
        <v>0</v>
      </c>
      <c r="G150" s="123">
        <f ca="1" t="shared" si="54"/>
        <v>0</v>
      </c>
      <c r="H150" s="123">
        <f ca="1" t="shared" si="54"/>
        <v>0</v>
      </c>
      <c r="I150" s="123">
        <f ca="1" t="shared" si="54"/>
        <v>0</v>
      </c>
      <c r="J150" s="123">
        <f ca="1" t="shared" si="54"/>
        <v>0</v>
      </c>
      <c r="K150" s="123">
        <f ca="1" t="shared" si="54"/>
        <v>0</v>
      </c>
      <c r="L150" s="123">
        <f ca="1" t="shared" si="54"/>
        <v>0</v>
      </c>
      <c r="M150" s="123">
        <f ca="1" t="shared" si="54"/>
        <v>0</v>
      </c>
      <c r="N150" s="39">
        <f ca="1" t="shared" si="54"/>
        <v>0</v>
      </c>
      <c r="O150" s="39">
        <f ca="1" t="shared" si="54"/>
        <v>0</v>
      </c>
    </row>
    <row r="151" s="66" customFormat="1" ht="13.5" customHeight="1" spans="1:15">
      <c r="A151" s="11" t="str">
        <f>'Section-Category'!A116</f>
        <v>% of Total Expenses</v>
      </c>
      <c r="B151" s="124" t="str">
        <f ca="1" t="shared" ref="B151:O151" si="55">IF(B$17=0," - ",B150/B$17)</f>
        <v> - </v>
      </c>
      <c r="C151" s="124" t="str">
        <f ca="1" t="shared" si="55"/>
        <v> - </v>
      </c>
      <c r="D151" s="124" t="str">
        <f ca="1" t="shared" si="55"/>
        <v> - </v>
      </c>
      <c r="E151" s="124" t="str">
        <f ca="1" t="shared" si="55"/>
        <v> - </v>
      </c>
      <c r="F151" s="124" t="str">
        <f ca="1" t="shared" si="55"/>
        <v> - </v>
      </c>
      <c r="G151" s="124" t="str">
        <f ca="1" t="shared" si="55"/>
        <v> - </v>
      </c>
      <c r="H151" s="124" t="str">
        <f ca="1" t="shared" si="55"/>
        <v> - </v>
      </c>
      <c r="I151" s="124" t="str">
        <f ca="1" t="shared" si="55"/>
        <v> - </v>
      </c>
      <c r="J151" s="124" t="str">
        <f ca="1" t="shared" si="55"/>
        <v> - </v>
      </c>
      <c r="K151" s="124" t="str">
        <f ca="1" t="shared" si="55"/>
        <v> - </v>
      </c>
      <c r="L151" s="124" t="str">
        <f ca="1" t="shared" si="55"/>
        <v> - </v>
      </c>
      <c r="M151" s="124" t="str">
        <f ca="1" t="shared" si="55"/>
        <v> - </v>
      </c>
      <c r="N151" s="125" t="str">
        <f ca="1" t="shared" si="55"/>
        <v> - </v>
      </c>
      <c r="O151" s="125" t="str">
        <f ca="1" t="shared" si="55"/>
        <v> - </v>
      </c>
    </row>
    <row r="152" s="28" customFormat="1" ht="13.5" customHeight="1" spans="1:15">
      <c r="A152" s="7"/>
    </row>
    <row r="153" s="62" customFormat="1" spans="1:15">
      <c r="A153" s="12">
        <f>'Section-Category'!A118</f>
        <v>0</v>
      </c>
      <c r="B153" s="40" t="str">
        <f t="shared" ref="B153:M153" si="56">B$6</f>
        <v>Jan</v>
      </c>
      <c r="C153" s="40" t="str">
        <f t="shared" si="56"/>
        <v>Feb</v>
      </c>
      <c r="D153" s="40" t="str">
        <f t="shared" si="56"/>
        <v>Mar</v>
      </c>
      <c r="E153" s="40" t="str">
        <f t="shared" si="56"/>
        <v>Apr</v>
      </c>
      <c r="F153" s="40" t="str">
        <f t="shared" si="56"/>
        <v>May</v>
      </c>
      <c r="G153" s="40" t="str">
        <f t="shared" si="56"/>
        <v>Jun</v>
      </c>
      <c r="H153" s="40" t="str">
        <f t="shared" si="56"/>
        <v>Jul</v>
      </c>
      <c r="I153" s="40" t="str">
        <f t="shared" si="56"/>
        <v>Aug</v>
      </c>
      <c r="J153" s="40" t="str">
        <f t="shared" si="56"/>
        <v>Sep</v>
      </c>
      <c r="K153" s="40" t="str">
        <f t="shared" si="56"/>
        <v>Oct</v>
      </c>
      <c r="L153" s="40" t="str">
        <f t="shared" si="56"/>
        <v>Nov</v>
      </c>
      <c r="M153" s="40" t="str">
        <f t="shared" si="56"/>
        <v>Dec</v>
      </c>
      <c r="N153" s="40"/>
      <c r="O153" s="40"/>
    </row>
    <row r="154" s="28" customFormat="1" ht="15" customHeight="1" spans="1:15">
      <c r="A154" s="13" t="str">
        <f>'Section-Category'!A119</f>
        <v>&lt;Name-Of-Entry&gt;</v>
      </c>
      <c r="B154" s="120" t="str">
        <f ca="1" t="array" ref="B154">IF(OR(TRIM(INDIRECT("'"&amp;B$6&amp;"'!"&amp;B$4&amp;ROW()-42))="0",INDIRECT("'"&amp;B$6&amp;"'!"&amp;B$4&amp;ROW()-42)="",NOT(ISNUMBER(INDIRECT("'"&amp;B$6&amp;"'!"&amp;B$4&amp;ROW()-42)))),"-",INDIRECT("'"&amp;B$6&amp;"'!"&amp;B$4&amp;ROW()-42))</f>
        <v>-</v>
      </c>
      <c r="C154" s="120" t="str">
        <f ca="1" t="array" ref="C154">IF(OR(TRIM(INDIRECT("'"&amp;C$6&amp;"'!"&amp;C$4&amp;ROW()-42))="0",INDIRECT("'"&amp;C$6&amp;"'!"&amp;C$4&amp;ROW()-42)="",NOT(ISNUMBER(INDIRECT("'"&amp;C$6&amp;"'!"&amp;C$4&amp;ROW()-42)))),"-",INDIRECT("'"&amp;C$6&amp;"'!"&amp;C$4&amp;ROW()-42))</f>
        <v>-</v>
      </c>
      <c r="D154" s="120" t="str">
        <f ca="1" t="array" ref="D154">IF(OR(TRIM(INDIRECT("'"&amp;D$6&amp;"'!"&amp;D$4&amp;ROW()-42))="0",INDIRECT("'"&amp;D$6&amp;"'!"&amp;D$4&amp;ROW()-42)="",NOT(ISNUMBER(INDIRECT("'"&amp;D$6&amp;"'!"&amp;D$4&amp;ROW()-42)))),"-",INDIRECT("'"&amp;D$6&amp;"'!"&amp;D$4&amp;ROW()-42))</f>
        <v>-</v>
      </c>
      <c r="E154" s="120" t="str">
        <f ca="1" t="array" ref="E154">IF(OR(TRIM(INDIRECT("'"&amp;E$6&amp;"'!"&amp;E$4&amp;ROW()-42))="0",INDIRECT("'"&amp;E$6&amp;"'!"&amp;E$4&amp;ROW()-42)="",NOT(ISNUMBER(INDIRECT("'"&amp;E$6&amp;"'!"&amp;E$4&amp;ROW()-42)))),"-",INDIRECT("'"&amp;E$6&amp;"'!"&amp;E$4&amp;ROW()-42))</f>
        <v>-</v>
      </c>
      <c r="F154" s="120" t="str">
        <f ca="1" t="array" ref="F154">IF(OR(TRIM(INDIRECT("'"&amp;F$6&amp;"'!"&amp;F$4&amp;ROW()-42))="0",INDIRECT("'"&amp;F$6&amp;"'!"&amp;F$4&amp;ROW()-42)="",NOT(ISNUMBER(INDIRECT("'"&amp;F$6&amp;"'!"&amp;F$4&amp;ROW()-42)))),"-",INDIRECT("'"&amp;F$6&amp;"'!"&amp;F$4&amp;ROW()-42))</f>
        <v>-</v>
      </c>
      <c r="G154" s="120" t="str">
        <f ca="1" t="array" ref="G154">IF(OR(TRIM(INDIRECT("'"&amp;G$6&amp;"'!"&amp;G$4&amp;ROW()-42))="0",INDIRECT("'"&amp;G$6&amp;"'!"&amp;G$4&amp;ROW()-42)="",NOT(ISNUMBER(INDIRECT("'"&amp;G$6&amp;"'!"&amp;G$4&amp;ROW()-42)))),"-",INDIRECT("'"&amp;G$6&amp;"'!"&amp;G$4&amp;ROW()-42))</f>
        <v>-</v>
      </c>
      <c r="H154" s="120" t="str">
        <f ca="1" t="array" ref="H154">IF(OR(TRIM(INDIRECT("'"&amp;H$6&amp;"'!"&amp;H$4&amp;ROW()-42))="0",INDIRECT("'"&amp;H$6&amp;"'!"&amp;H$4&amp;ROW()-42)="",NOT(ISNUMBER(INDIRECT("'"&amp;H$6&amp;"'!"&amp;H$4&amp;ROW()-42)))),"-",INDIRECT("'"&amp;H$6&amp;"'!"&amp;H$4&amp;ROW()-42))</f>
        <v>-</v>
      </c>
      <c r="I154" s="120" t="str">
        <f ca="1" t="array" ref="I154">IF(OR(TRIM(INDIRECT("'"&amp;I$6&amp;"'!"&amp;I$4&amp;ROW()-42))="0",INDIRECT("'"&amp;I$6&amp;"'!"&amp;I$4&amp;ROW()-42)="",NOT(ISNUMBER(INDIRECT("'"&amp;I$6&amp;"'!"&amp;I$4&amp;ROW()-42)))),"-",INDIRECT("'"&amp;I$6&amp;"'!"&amp;I$4&amp;ROW()-42))</f>
        <v>-</v>
      </c>
      <c r="J154" s="120" t="str">
        <f ca="1" t="array" ref="J154">IF(OR(TRIM(INDIRECT("'"&amp;J$6&amp;"'!"&amp;J$4&amp;ROW()-42))="0",INDIRECT("'"&amp;J$6&amp;"'!"&amp;J$4&amp;ROW()-42)="",NOT(ISNUMBER(INDIRECT("'"&amp;J$6&amp;"'!"&amp;J$4&amp;ROW()-42)))),"-",INDIRECT("'"&amp;J$6&amp;"'!"&amp;J$4&amp;ROW()-42))</f>
        <v>-</v>
      </c>
      <c r="K154" s="120" t="str">
        <f ca="1" t="array" ref="K154">IF(OR(TRIM(INDIRECT("'"&amp;K$6&amp;"'!"&amp;K$4&amp;ROW()-42))="0",INDIRECT("'"&amp;K$6&amp;"'!"&amp;K$4&amp;ROW()-42)="",NOT(ISNUMBER(INDIRECT("'"&amp;K$6&amp;"'!"&amp;K$4&amp;ROW()-42)))),"-",INDIRECT("'"&amp;K$6&amp;"'!"&amp;K$4&amp;ROW()-42))</f>
        <v>-</v>
      </c>
      <c r="L154" s="120" t="str">
        <f ca="1" t="array" ref="L154">IF(OR(TRIM(INDIRECT("'"&amp;L$6&amp;"'!"&amp;L$4&amp;ROW()-42))="0",INDIRECT("'"&amp;L$6&amp;"'!"&amp;L$4&amp;ROW()-42)="",NOT(ISNUMBER(INDIRECT("'"&amp;L$6&amp;"'!"&amp;L$4&amp;ROW()-42)))),"-",INDIRECT("'"&amp;L$6&amp;"'!"&amp;L$4&amp;ROW()-42))</f>
        <v>-</v>
      </c>
      <c r="M154" s="120" t="str">
        <f ca="1" t="array" ref="M154">IF(OR(TRIM(INDIRECT("'"&amp;M$6&amp;"'!"&amp;M$4&amp;ROW()-42))="0",INDIRECT("'"&amp;M$6&amp;"'!"&amp;M$4&amp;ROW()-42)="",NOT(ISNUMBER(INDIRECT("'"&amp;M$6&amp;"'!"&amp;M$4&amp;ROW()-42)))),"-",INDIRECT("'"&amp;M$6&amp;"'!"&amp;M$4&amp;ROW()-42))</f>
        <v>-</v>
      </c>
      <c r="N154" s="31"/>
      <c r="O154" s="31"/>
    </row>
    <row r="155" s="28" customFormat="1" ht="15" customHeight="1" spans="1:15">
      <c r="A155" s="13" t="str">
        <f>'Section-Category'!A120</f>
        <v>&lt;Name-Of-Entry&gt;</v>
      </c>
      <c r="B155" s="120" t="str">
        <f ca="1" t="array" ref="B155">IF(OR(TRIM(INDIRECT("'"&amp;B$6&amp;"'!"&amp;B$4&amp;ROW()-42))="0",INDIRECT("'"&amp;B$6&amp;"'!"&amp;B$4&amp;ROW()-42)="",NOT(ISNUMBER(INDIRECT("'"&amp;B$6&amp;"'!"&amp;B$4&amp;ROW()-42)))),"-",INDIRECT("'"&amp;B$6&amp;"'!"&amp;B$4&amp;ROW()-42))</f>
        <v>-</v>
      </c>
      <c r="C155" s="120" t="str">
        <f ca="1" t="array" ref="C155">IF(OR(TRIM(INDIRECT("'"&amp;C$6&amp;"'!"&amp;C$4&amp;ROW()-42))="0",INDIRECT("'"&amp;C$6&amp;"'!"&amp;C$4&amp;ROW()-42)="",NOT(ISNUMBER(INDIRECT("'"&amp;C$6&amp;"'!"&amp;C$4&amp;ROW()-42)))),"-",INDIRECT("'"&amp;C$6&amp;"'!"&amp;C$4&amp;ROW()-42))</f>
        <v>-</v>
      </c>
      <c r="D155" s="120" t="str">
        <f ca="1" t="array" ref="D155">IF(OR(TRIM(INDIRECT("'"&amp;D$6&amp;"'!"&amp;D$4&amp;ROW()-42))="0",INDIRECT("'"&amp;D$6&amp;"'!"&amp;D$4&amp;ROW()-42)="",NOT(ISNUMBER(INDIRECT("'"&amp;D$6&amp;"'!"&amp;D$4&amp;ROW()-42)))),"-",INDIRECT("'"&amp;D$6&amp;"'!"&amp;D$4&amp;ROW()-42))</f>
        <v>-</v>
      </c>
      <c r="E155" s="120" t="str">
        <f ca="1" t="array" ref="E155">IF(OR(TRIM(INDIRECT("'"&amp;E$6&amp;"'!"&amp;E$4&amp;ROW()-42))="0",INDIRECT("'"&amp;E$6&amp;"'!"&amp;E$4&amp;ROW()-42)="",NOT(ISNUMBER(INDIRECT("'"&amp;E$6&amp;"'!"&amp;E$4&amp;ROW()-42)))),"-",INDIRECT("'"&amp;E$6&amp;"'!"&amp;E$4&amp;ROW()-42))</f>
        <v>-</v>
      </c>
      <c r="F155" s="120" t="str">
        <f ca="1" t="array" ref="F155">IF(OR(TRIM(INDIRECT("'"&amp;F$6&amp;"'!"&amp;F$4&amp;ROW()-42))="0",INDIRECT("'"&amp;F$6&amp;"'!"&amp;F$4&amp;ROW()-42)="",NOT(ISNUMBER(INDIRECT("'"&amp;F$6&amp;"'!"&amp;F$4&amp;ROW()-42)))),"-",INDIRECT("'"&amp;F$6&amp;"'!"&amp;F$4&amp;ROW()-42))</f>
        <v>-</v>
      </c>
      <c r="G155" s="120" t="str">
        <f ca="1" t="array" ref="G155">IF(OR(TRIM(INDIRECT("'"&amp;G$6&amp;"'!"&amp;G$4&amp;ROW()-42))="0",INDIRECT("'"&amp;G$6&amp;"'!"&amp;G$4&amp;ROW()-42)="",NOT(ISNUMBER(INDIRECT("'"&amp;G$6&amp;"'!"&amp;G$4&amp;ROW()-42)))),"-",INDIRECT("'"&amp;G$6&amp;"'!"&amp;G$4&amp;ROW()-42))</f>
        <v>-</v>
      </c>
      <c r="H155" s="120" t="str">
        <f ca="1" t="array" ref="H155">IF(OR(TRIM(INDIRECT("'"&amp;H$6&amp;"'!"&amp;H$4&amp;ROW()-42))="0",INDIRECT("'"&amp;H$6&amp;"'!"&amp;H$4&amp;ROW()-42)="",NOT(ISNUMBER(INDIRECT("'"&amp;H$6&amp;"'!"&amp;H$4&amp;ROW()-42)))),"-",INDIRECT("'"&amp;H$6&amp;"'!"&amp;H$4&amp;ROW()-42))</f>
        <v>-</v>
      </c>
      <c r="I155" s="120" t="str">
        <f ca="1" t="array" ref="I155">IF(OR(TRIM(INDIRECT("'"&amp;I$6&amp;"'!"&amp;I$4&amp;ROW()-42))="0",INDIRECT("'"&amp;I$6&amp;"'!"&amp;I$4&amp;ROW()-42)="",NOT(ISNUMBER(INDIRECT("'"&amp;I$6&amp;"'!"&amp;I$4&amp;ROW()-42)))),"-",INDIRECT("'"&amp;I$6&amp;"'!"&amp;I$4&amp;ROW()-42))</f>
        <v>-</v>
      </c>
      <c r="J155" s="120" t="str">
        <f ca="1" t="array" ref="J155">IF(OR(TRIM(INDIRECT("'"&amp;J$6&amp;"'!"&amp;J$4&amp;ROW()-42))="0",INDIRECT("'"&amp;J$6&amp;"'!"&amp;J$4&amp;ROW()-42)="",NOT(ISNUMBER(INDIRECT("'"&amp;J$6&amp;"'!"&amp;J$4&amp;ROW()-42)))),"-",INDIRECT("'"&amp;J$6&amp;"'!"&amp;J$4&amp;ROW()-42))</f>
        <v>-</v>
      </c>
      <c r="K155" s="120" t="str">
        <f ca="1" t="array" ref="K155">IF(OR(TRIM(INDIRECT("'"&amp;K$6&amp;"'!"&amp;K$4&amp;ROW()-42))="0",INDIRECT("'"&amp;K$6&amp;"'!"&amp;K$4&amp;ROW()-42)="",NOT(ISNUMBER(INDIRECT("'"&amp;K$6&amp;"'!"&amp;K$4&amp;ROW()-42)))),"-",INDIRECT("'"&amp;K$6&amp;"'!"&amp;K$4&amp;ROW()-42))</f>
        <v>-</v>
      </c>
      <c r="L155" s="120" t="str">
        <f ca="1" t="array" ref="L155">IF(OR(TRIM(INDIRECT("'"&amp;L$6&amp;"'!"&amp;L$4&amp;ROW()-42))="0",INDIRECT("'"&amp;L$6&amp;"'!"&amp;L$4&amp;ROW()-42)="",NOT(ISNUMBER(INDIRECT("'"&amp;L$6&amp;"'!"&amp;L$4&amp;ROW()-42)))),"-",INDIRECT("'"&amp;L$6&amp;"'!"&amp;L$4&amp;ROW()-42))</f>
        <v>-</v>
      </c>
      <c r="M155" s="120" t="str">
        <f ca="1" t="array" ref="M155">IF(OR(TRIM(INDIRECT("'"&amp;M$6&amp;"'!"&amp;M$4&amp;ROW()-42))="0",INDIRECT("'"&amp;M$6&amp;"'!"&amp;M$4&amp;ROW()-42)="",NOT(ISNUMBER(INDIRECT("'"&amp;M$6&amp;"'!"&amp;M$4&amp;ROW()-42)))),"-",INDIRECT("'"&amp;M$6&amp;"'!"&amp;M$4&amp;ROW()-42))</f>
        <v>-</v>
      </c>
      <c r="N155" s="31"/>
      <c r="O155" s="31"/>
    </row>
    <row r="156" s="28" customFormat="1" ht="15" customHeight="1" spans="1:15">
      <c r="A156" s="13" t="str">
        <f>'Section-Category'!A121</f>
        <v>&lt;Name-Of-Entry&gt;</v>
      </c>
      <c r="B156" s="120" t="str">
        <f ca="1" t="array" ref="B156">IF(OR(TRIM(INDIRECT("'"&amp;B$6&amp;"'!"&amp;B$4&amp;ROW()-42))="0",INDIRECT("'"&amp;B$6&amp;"'!"&amp;B$4&amp;ROW()-42)="",NOT(ISNUMBER(INDIRECT("'"&amp;B$6&amp;"'!"&amp;B$4&amp;ROW()-42)))),"-",INDIRECT("'"&amp;B$6&amp;"'!"&amp;B$4&amp;ROW()-42))</f>
        <v>-</v>
      </c>
      <c r="C156" s="120" t="str">
        <f ca="1" t="array" ref="C156">IF(OR(TRIM(INDIRECT("'"&amp;C$6&amp;"'!"&amp;C$4&amp;ROW()-42))="0",INDIRECT("'"&amp;C$6&amp;"'!"&amp;C$4&amp;ROW()-42)="",NOT(ISNUMBER(INDIRECT("'"&amp;C$6&amp;"'!"&amp;C$4&amp;ROW()-42)))),"-",INDIRECT("'"&amp;C$6&amp;"'!"&amp;C$4&amp;ROW()-42))</f>
        <v>-</v>
      </c>
      <c r="D156" s="120" t="str">
        <f ca="1" t="array" ref="D156">IF(OR(TRIM(INDIRECT("'"&amp;D$6&amp;"'!"&amp;D$4&amp;ROW()-42))="0",INDIRECT("'"&amp;D$6&amp;"'!"&amp;D$4&amp;ROW()-42)="",NOT(ISNUMBER(INDIRECT("'"&amp;D$6&amp;"'!"&amp;D$4&amp;ROW()-42)))),"-",INDIRECT("'"&amp;D$6&amp;"'!"&amp;D$4&amp;ROW()-42))</f>
        <v>-</v>
      </c>
      <c r="E156" s="120" t="str">
        <f ca="1" t="array" ref="E156">IF(OR(TRIM(INDIRECT("'"&amp;E$6&amp;"'!"&amp;E$4&amp;ROW()-42))="0",INDIRECT("'"&amp;E$6&amp;"'!"&amp;E$4&amp;ROW()-42)="",NOT(ISNUMBER(INDIRECT("'"&amp;E$6&amp;"'!"&amp;E$4&amp;ROW()-42)))),"-",INDIRECT("'"&amp;E$6&amp;"'!"&amp;E$4&amp;ROW()-42))</f>
        <v>-</v>
      </c>
      <c r="F156" s="120" t="str">
        <f ca="1" t="array" ref="F156">IF(OR(TRIM(INDIRECT("'"&amp;F$6&amp;"'!"&amp;F$4&amp;ROW()-42))="0",INDIRECT("'"&amp;F$6&amp;"'!"&amp;F$4&amp;ROW()-42)="",NOT(ISNUMBER(INDIRECT("'"&amp;F$6&amp;"'!"&amp;F$4&amp;ROW()-42)))),"-",INDIRECT("'"&amp;F$6&amp;"'!"&amp;F$4&amp;ROW()-42))</f>
        <v>-</v>
      </c>
      <c r="G156" s="120" t="str">
        <f ca="1" t="array" ref="G156">IF(OR(TRIM(INDIRECT("'"&amp;G$6&amp;"'!"&amp;G$4&amp;ROW()-42))="0",INDIRECT("'"&amp;G$6&amp;"'!"&amp;G$4&amp;ROW()-42)="",NOT(ISNUMBER(INDIRECT("'"&amp;G$6&amp;"'!"&amp;G$4&amp;ROW()-42)))),"-",INDIRECT("'"&amp;G$6&amp;"'!"&amp;G$4&amp;ROW()-42))</f>
        <v>-</v>
      </c>
      <c r="H156" s="120" t="str">
        <f ca="1" t="array" ref="H156">IF(OR(TRIM(INDIRECT("'"&amp;H$6&amp;"'!"&amp;H$4&amp;ROW()-42))="0",INDIRECT("'"&amp;H$6&amp;"'!"&amp;H$4&amp;ROW()-42)="",NOT(ISNUMBER(INDIRECT("'"&amp;H$6&amp;"'!"&amp;H$4&amp;ROW()-42)))),"-",INDIRECT("'"&amp;H$6&amp;"'!"&amp;H$4&amp;ROW()-42))</f>
        <v>-</v>
      </c>
      <c r="I156" s="120" t="str">
        <f ca="1" t="array" ref="I156">IF(OR(TRIM(INDIRECT("'"&amp;I$6&amp;"'!"&amp;I$4&amp;ROW()-42))="0",INDIRECT("'"&amp;I$6&amp;"'!"&amp;I$4&amp;ROW()-42)="",NOT(ISNUMBER(INDIRECT("'"&amp;I$6&amp;"'!"&amp;I$4&amp;ROW()-42)))),"-",INDIRECT("'"&amp;I$6&amp;"'!"&amp;I$4&amp;ROW()-42))</f>
        <v>-</v>
      </c>
      <c r="J156" s="120" t="str">
        <f ca="1" t="array" ref="J156">IF(OR(TRIM(INDIRECT("'"&amp;J$6&amp;"'!"&amp;J$4&amp;ROW()-42))="0",INDIRECT("'"&amp;J$6&amp;"'!"&amp;J$4&amp;ROW()-42)="",NOT(ISNUMBER(INDIRECT("'"&amp;J$6&amp;"'!"&amp;J$4&amp;ROW()-42)))),"-",INDIRECT("'"&amp;J$6&amp;"'!"&amp;J$4&amp;ROW()-42))</f>
        <v>-</v>
      </c>
      <c r="K156" s="120" t="str">
        <f ca="1" t="array" ref="K156">IF(OR(TRIM(INDIRECT("'"&amp;K$6&amp;"'!"&amp;K$4&amp;ROW()-42))="0",INDIRECT("'"&amp;K$6&amp;"'!"&amp;K$4&amp;ROW()-42)="",NOT(ISNUMBER(INDIRECT("'"&amp;K$6&amp;"'!"&amp;K$4&amp;ROW()-42)))),"-",INDIRECT("'"&amp;K$6&amp;"'!"&amp;K$4&amp;ROW()-42))</f>
        <v>-</v>
      </c>
      <c r="L156" s="120" t="str">
        <f ca="1" t="array" ref="L156">IF(OR(TRIM(INDIRECT("'"&amp;L$6&amp;"'!"&amp;L$4&amp;ROW()-42))="0",INDIRECT("'"&amp;L$6&amp;"'!"&amp;L$4&amp;ROW()-42)="",NOT(ISNUMBER(INDIRECT("'"&amp;L$6&amp;"'!"&amp;L$4&amp;ROW()-42)))),"-",INDIRECT("'"&amp;L$6&amp;"'!"&amp;L$4&amp;ROW()-42))</f>
        <v>-</v>
      </c>
      <c r="M156" s="120" t="str">
        <f ca="1" t="array" ref="M156">IF(OR(TRIM(INDIRECT("'"&amp;M$6&amp;"'!"&amp;M$4&amp;ROW()-42))="0",INDIRECT("'"&amp;M$6&amp;"'!"&amp;M$4&amp;ROW()-42)="",NOT(ISNUMBER(INDIRECT("'"&amp;M$6&amp;"'!"&amp;M$4&amp;ROW()-42)))),"-",INDIRECT("'"&amp;M$6&amp;"'!"&amp;M$4&amp;ROW()-42))</f>
        <v>-</v>
      </c>
      <c r="N156" s="31"/>
      <c r="O156" s="31"/>
    </row>
    <row r="157" s="28" customFormat="1" ht="15.75" customHeight="1" spans="1:15">
      <c r="A157" s="13" t="str">
        <f>'Section-Category'!A122</f>
        <v>&lt;Name-Of-Entry&gt;</v>
      </c>
      <c r="B157" s="120" t="str">
        <f ca="1" t="array" ref="B157">IF(OR(TRIM(INDIRECT("'"&amp;B$6&amp;"'!"&amp;B$4&amp;ROW()-42))="0",INDIRECT("'"&amp;B$6&amp;"'!"&amp;B$4&amp;ROW()-42)="",NOT(ISNUMBER(INDIRECT("'"&amp;B$6&amp;"'!"&amp;B$4&amp;ROW()-42)))),"-",INDIRECT("'"&amp;B$6&amp;"'!"&amp;B$4&amp;ROW()-42))</f>
        <v>-</v>
      </c>
      <c r="C157" s="120" t="str">
        <f ca="1" t="array" ref="C157">IF(OR(TRIM(INDIRECT("'"&amp;C$6&amp;"'!"&amp;C$4&amp;ROW()-42))="0",INDIRECT("'"&amp;C$6&amp;"'!"&amp;C$4&amp;ROW()-42)="",NOT(ISNUMBER(INDIRECT("'"&amp;C$6&amp;"'!"&amp;C$4&amp;ROW()-42)))),"-",INDIRECT("'"&amp;C$6&amp;"'!"&amp;C$4&amp;ROW()-42))</f>
        <v>-</v>
      </c>
      <c r="D157" s="120" t="str">
        <f ca="1" t="array" ref="D157">IF(OR(TRIM(INDIRECT("'"&amp;D$6&amp;"'!"&amp;D$4&amp;ROW()-42))="0",INDIRECT("'"&amp;D$6&amp;"'!"&amp;D$4&amp;ROW()-42)="",NOT(ISNUMBER(INDIRECT("'"&amp;D$6&amp;"'!"&amp;D$4&amp;ROW()-42)))),"-",INDIRECT("'"&amp;D$6&amp;"'!"&amp;D$4&amp;ROW()-42))</f>
        <v>-</v>
      </c>
      <c r="E157" s="120" t="str">
        <f ca="1" t="array" ref="E157">IF(OR(TRIM(INDIRECT("'"&amp;E$6&amp;"'!"&amp;E$4&amp;ROW()-42))="0",INDIRECT("'"&amp;E$6&amp;"'!"&amp;E$4&amp;ROW()-42)="",NOT(ISNUMBER(INDIRECT("'"&amp;E$6&amp;"'!"&amp;E$4&amp;ROW()-42)))),"-",INDIRECT("'"&amp;E$6&amp;"'!"&amp;E$4&amp;ROW()-42))</f>
        <v>-</v>
      </c>
      <c r="F157" s="120" t="str">
        <f ca="1" t="array" ref="F157">IF(OR(TRIM(INDIRECT("'"&amp;F$6&amp;"'!"&amp;F$4&amp;ROW()-42))="0",INDIRECT("'"&amp;F$6&amp;"'!"&amp;F$4&amp;ROW()-42)="",NOT(ISNUMBER(INDIRECT("'"&amp;F$6&amp;"'!"&amp;F$4&amp;ROW()-42)))),"-",INDIRECT("'"&amp;F$6&amp;"'!"&amp;F$4&amp;ROW()-42))</f>
        <v>-</v>
      </c>
      <c r="G157" s="120" t="str">
        <f ca="1" t="array" ref="G157">IF(OR(TRIM(INDIRECT("'"&amp;G$6&amp;"'!"&amp;G$4&amp;ROW()-42))="0",INDIRECT("'"&amp;G$6&amp;"'!"&amp;G$4&amp;ROW()-42)="",NOT(ISNUMBER(INDIRECT("'"&amp;G$6&amp;"'!"&amp;G$4&amp;ROW()-42)))),"-",INDIRECT("'"&amp;G$6&amp;"'!"&amp;G$4&amp;ROW()-42))</f>
        <v>-</v>
      </c>
      <c r="H157" s="120" t="str">
        <f ca="1" t="array" ref="H157">IF(OR(TRIM(INDIRECT("'"&amp;H$6&amp;"'!"&amp;H$4&amp;ROW()-42))="0",INDIRECT("'"&amp;H$6&amp;"'!"&amp;H$4&amp;ROW()-42)="",NOT(ISNUMBER(INDIRECT("'"&amp;H$6&amp;"'!"&amp;H$4&amp;ROW()-42)))),"-",INDIRECT("'"&amp;H$6&amp;"'!"&amp;H$4&amp;ROW()-42))</f>
        <v>-</v>
      </c>
      <c r="I157" s="120" t="str">
        <f ca="1" t="array" ref="I157">IF(OR(TRIM(INDIRECT("'"&amp;I$6&amp;"'!"&amp;I$4&amp;ROW()-42))="0",INDIRECT("'"&amp;I$6&amp;"'!"&amp;I$4&amp;ROW()-42)="",NOT(ISNUMBER(INDIRECT("'"&amp;I$6&amp;"'!"&amp;I$4&amp;ROW()-42)))),"-",INDIRECT("'"&amp;I$6&amp;"'!"&amp;I$4&amp;ROW()-42))</f>
        <v>-</v>
      </c>
      <c r="J157" s="120" t="str">
        <f ca="1" t="array" ref="J157">IF(OR(TRIM(INDIRECT("'"&amp;J$6&amp;"'!"&amp;J$4&amp;ROW()-42))="0",INDIRECT("'"&amp;J$6&amp;"'!"&amp;J$4&amp;ROW()-42)="",NOT(ISNUMBER(INDIRECT("'"&amp;J$6&amp;"'!"&amp;J$4&amp;ROW()-42)))),"-",INDIRECT("'"&amp;J$6&amp;"'!"&amp;J$4&amp;ROW()-42))</f>
        <v>-</v>
      </c>
      <c r="K157" s="120" t="str">
        <f ca="1" t="array" ref="K157">IF(OR(TRIM(INDIRECT("'"&amp;K$6&amp;"'!"&amp;K$4&amp;ROW()-42))="0",INDIRECT("'"&amp;K$6&amp;"'!"&amp;K$4&amp;ROW()-42)="",NOT(ISNUMBER(INDIRECT("'"&amp;K$6&amp;"'!"&amp;K$4&amp;ROW()-42)))),"-",INDIRECT("'"&amp;K$6&amp;"'!"&amp;K$4&amp;ROW()-42))</f>
        <v>-</v>
      </c>
      <c r="L157" s="120" t="str">
        <f ca="1" t="array" ref="L157">IF(OR(TRIM(INDIRECT("'"&amp;L$6&amp;"'!"&amp;L$4&amp;ROW()-42))="0",INDIRECT("'"&amp;L$6&amp;"'!"&amp;L$4&amp;ROW()-42)="",NOT(ISNUMBER(INDIRECT("'"&amp;L$6&amp;"'!"&amp;L$4&amp;ROW()-42)))),"-",INDIRECT("'"&amp;L$6&amp;"'!"&amp;L$4&amp;ROW()-42))</f>
        <v>-</v>
      </c>
      <c r="M157" s="120" t="str">
        <f ca="1" t="array" ref="M157">IF(OR(TRIM(INDIRECT("'"&amp;M$6&amp;"'!"&amp;M$4&amp;ROW()-42))="0",INDIRECT("'"&amp;M$6&amp;"'!"&amp;M$4&amp;ROW()-42)="",NOT(ISNUMBER(INDIRECT("'"&amp;M$6&amp;"'!"&amp;M$4&amp;ROW()-42)))),"-",INDIRECT("'"&amp;M$6&amp;"'!"&amp;M$4&amp;ROW()-42))</f>
        <v>-</v>
      </c>
      <c r="N157" s="31"/>
      <c r="O157" s="31"/>
    </row>
    <row r="158" s="66" customFormat="1" ht="15" customHeight="1" spans="1:15">
      <c r="A158" s="10" t="str">
        <f>'Section-Category'!A123</f>
        <v>Total </v>
      </c>
      <c r="B158" s="123"/>
      <c r="C158" s="123"/>
      <c r="D158" s="123"/>
      <c r="E158" s="123"/>
      <c r="F158" s="123"/>
      <c r="G158" s="123"/>
      <c r="H158" s="123"/>
      <c r="I158" s="123"/>
      <c r="J158" s="123"/>
      <c r="K158" s="123"/>
      <c r="L158" s="123"/>
      <c r="M158" s="123"/>
      <c r="N158" s="39"/>
      <c r="O158" s="39"/>
    </row>
    <row r="159" s="28" customFormat="1" ht="13.5" customHeight="1" spans="1:15">
      <c r="A159" s="16" t="str">
        <f>'Section-Category'!A124</f>
        <v>% of Total Expenses</v>
      </c>
      <c r="B159" s="125"/>
      <c r="C159" s="125"/>
      <c r="D159" s="125"/>
      <c r="E159" s="125"/>
      <c r="F159" s="125"/>
      <c r="G159" s="125"/>
      <c r="H159" s="125"/>
      <c r="I159" s="125"/>
      <c r="J159" s="125"/>
      <c r="K159" s="125"/>
      <c r="L159" s="125"/>
      <c r="M159" s="125"/>
      <c r="N159" s="125"/>
      <c r="O159" s="125"/>
    </row>
    <row r="160" s="28" customFormat="1" ht="13.5" customHeight="1" spans="1:15">
      <c r="A160" s="7"/>
    </row>
    <row r="161" s="62" customFormat="1" spans="1:15">
      <c r="A161" s="12" t="str">
        <f>'Section-Category'!A126</f>
        <v>ENTERTAINMENT</v>
      </c>
      <c r="B161" s="40" t="str">
        <f t="shared" ref="B161:M161" si="57">B$6</f>
        <v>Jan</v>
      </c>
      <c r="C161" s="40" t="str">
        <f t="shared" si="57"/>
        <v>Feb</v>
      </c>
      <c r="D161" s="40" t="str">
        <f t="shared" si="57"/>
        <v>Mar</v>
      </c>
      <c r="E161" s="40" t="str">
        <f t="shared" si="57"/>
        <v>Apr</v>
      </c>
      <c r="F161" s="40" t="str">
        <f t="shared" si="57"/>
        <v>May</v>
      </c>
      <c r="G161" s="40" t="str">
        <f t="shared" si="57"/>
        <v>Jun</v>
      </c>
      <c r="H161" s="40" t="str">
        <f t="shared" si="57"/>
        <v>Jul</v>
      </c>
      <c r="I161" s="40" t="str">
        <f t="shared" si="57"/>
        <v>Aug</v>
      </c>
      <c r="J161" s="40" t="str">
        <f t="shared" si="57"/>
        <v>Sep</v>
      </c>
      <c r="K161" s="40" t="str">
        <f t="shared" si="57"/>
        <v>Oct</v>
      </c>
      <c r="L161" s="40" t="str">
        <f t="shared" si="57"/>
        <v>Nov</v>
      </c>
      <c r="M161" s="40" t="str">
        <f t="shared" si="57"/>
        <v>Dec</v>
      </c>
      <c r="N161" s="40" t="s">
        <v>34</v>
      </c>
      <c r="O161" s="40" t="s">
        <v>35</v>
      </c>
    </row>
    <row r="162" s="28" customFormat="1" ht="15" customHeight="1" spans="1:15">
      <c r="A162" s="13" t="str">
        <f>'Section-Category'!A127</f>
        <v>Activities</v>
      </c>
      <c r="B162" s="120" t="str">
        <f ca="1" t="array" ref="B162">IF(OR(TRIM(INDIRECT("'"&amp;B$6&amp;"'!"&amp;B$4&amp;ROW()-43))="0",INDIRECT("'"&amp;B$6&amp;"'!"&amp;B$4&amp;ROW()-43)="",NOT(ISNUMBER(INDIRECT("'"&amp;B$6&amp;"'!"&amp;B$4&amp;ROW()-43)))),"-",INDIRECT("'"&amp;B$6&amp;"'!"&amp;B$4&amp;ROW()-43))</f>
        <v>-</v>
      </c>
      <c r="C162" s="120" t="str">
        <f ca="1" t="array" ref="C162">IF(OR(TRIM(INDIRECT("'"&amp;C$6&amp;"'!"&amp;C$4&amp;ROW()-43))="0",INDIRECT("'"&amp;C$6&amp;"'!"&amp;C$4&amp;ROW()-43)="",NOT(ISNUMBER(INDIRECT("'"&amp;C$6&amp;"'!"&amp;C$4&amp;ROW()-43)))),"-",INDIRECT("'"&amp;C$6&amp;"'!"&amp;C$4&amp;ROW()-43))</f>
        <v>-</v>
      </c>
      <c r="D162" s="120" t="str">
        <f ca="1" t="array" ref="D162">IF(OR(TRIM(INDIRECT("'"&amp;D$6&amp;"'!"&amp;D$4&amp;ROW()-43))="0",INDIRECT("'"&amp;D$6&amp;"'!"&amp;D$4&amp;ROW()-43)="",NOT(ISNUMBER(INDIRECT("'"&amp;D$6&amp;"'!"&amp;D$4&amp;ROW()-43)))),"-",INDIRECT("'"&amp;D$6&amp;"'!"&amp;D$4&amp;ROW()-43))</f>
        <v>-</v>
      </c>
      <c r="E162" s="120" t="str">
        <f ca="1" t="array" ref="E162">IF(OR(TRIM(INDIRECT("'"&amp;E$6&amp;"'!"&amp;E$4&amp;ROW()-43))="0",INDIRECT("'"&amp;E$6&amp;"'!"&amp;E$4&amp;ROW()-43)="",NOT(ISNUMBER(INDIRECT("'"&amp;E$6&amp;"'!"&amp;E$4&amp;ROW()-43)))),"-",INDIRECT("'"&amp;E$6&amp;"'!"&amp;E$4&amp;ROW()-43))</f>
        <v>-</v>
      </c>
      <c r="F162" s="120" t="str">
        <f ca="1" t="array" ref="F162">IF(OR(TRIM(INDIRECT("'"&amp;F$6&amp;"'!"&amp;F$4&amp;ROW()-43))="0",INDIRECT("'"&amp;F$6&amp;"'!"&amp;F$4&amp;ROW()-43)="",NOT(ISNUMBER(INDIRECT("'"&amp;F$6&amp;"'!"&amp;F$4&amp;ROW()-43)))),"-",INDIRECT("'"&amp;F$6&amp;"'!"&amp;F$4&amp;ROW()-43))</f>
        <v>-</v>
      </c>
      <c r="G162" s="120" t="str">
        <f ca="1" t="array" ref="G162">IF(OR(TRIM(INDIRECT("'"&amp;G$6&amp;"'!"&amp;G$4&amp;ROW()-43))="0",INDIRECT("'"&amp;G$6&amp;"'!"&amp;G$4&amp;ROW()-43)="",NOT(ISNUMBER(INDIRECT("'"&amp;G$6&amp;"'!"&amp;G$4&amp;ROW()-43)))),"-",INDIRECT("'"&amp;G$6&amp;"'!"&amp;G$4&amp;ROW()-43))</f>
        <v>-</v>
      </c>
      <c r="H162" s="120" t="str">
        <f ca="1" t="array" ref="H162">IF(OR(TRIM(INDIRECT("'"&amp;H$6&amp;"'!"&amp;H$4&amp;ROW()-43))="0",INDIRECT("'"&amp;H$6&amp;"'!"&amp;H$4&amp;ROW()-43)="",NOT(ISNUMBER(INDIRECT("'"&amp;H$6&amp;"'!"&amp;H$4&amp;ROW()-43)))),"-",INDIRECT("'"&amp;H$6&amp;"'!"&amp;H$4&amp;ROW()-43))</f>
        <v>-</v>
      </c>
      <c r="I162" s="120" t="str">
        <f ca="1" t="array" ref="I162">IF(OR(TRIM(INDIRECT("'"&amp;I$6&amp;"'!"&amp;I$4&amp;ROW()-43))="0",INDIRECT("'"&amp;I$6&amp;"'!"&amp;I$4&amp;ROW()-43)="",NOT(ISNUMBER(INDIRECT("'"&amp;I$6&amp;"'!"&amp;I$4&amp;ROW()-43)))),"-",INDIRECT("'"&amp;I$6&amp;"'!"&amp;I$4&amp;ROW()-43))</f>
        <v>-</v>
      </c>
      <c r="J162" s="120" t="str">
        <f ca="1" t="array" ref="J162">IF(OR(TRIM(INDIRECT("'"&amp;J$6&amp;"'!"&amp;J$4&amp;ROW()-43))="0",INDIRECT("'"&amp;J$6&amp;"'!"&amp;J$4&amp;ROW()-43)="",NOT(ISNUMBER(INDIRECT("'"&amp;J$6&amp;"'!"&amp;J$4&amp;ROW()-43)))),"-",INDIRECT("'"&amp;J$6&amp;"'!"&amp;J$4&amp;ROW()-43))</f>
        <v>-</v>
      </c>
      <c r="K162" s="120" t="str">
        <f ca="1" t="array" ref="K162">IF(OR(TRIM(INDIRECT("'"&amp;K$6&amp;"'!"&amp;K$4&amp;ROW()-43))="0",INDIRECT("'"&amp;K$6&amp;"'!"&amp;K$4&amp;ROW()-43)="",NOT(ISNUMBER(INDIRECT("'"&amp;K$6&amp;"'!"&amp;K$4&amp;ROW()-43)))),"-",INDIRECT("'"&amp;K$6&amp;"'!"&amp;K$4&amp;ROW()-43))</f>
        <v>-</v>
      </c>
      <c r="L162" s="120" t="str">
        <f ca="1" t="array" ref="L162">IF(OR(TRIM(INDIRECT("'"&amp;L$6&amp;"'!"&amp;L$4&amp;ROW()-43))="0",INDIRECT("'"&amp;L$6&amp;"'!"&amp;L$4&amp;ROW()-43)="",NOT(ISNUMBER(INDIRECT("'"&amp;L$6&amp;"'!"&amp;L$4&amp;ROW()-43)))),"-",INDIRECT("'"&amp;L$6&amp;"'!"&amp;L$4&amp;ROW()-43))</f>
        <v>-</v>
      </c>
      <c r="M162" s="120" t="str">
        <f ca="1" t="array" ref="M162">IF(OR(TRIM(INDIRECT("'"&amp;M$6&amp;"'!"&amp;M$4&amp;ROW()-43))="0",INDIRECT("'"&amp;M$6&amp;"'!"&amp;M$4&amp;ROW()-43)="",NOT(ISNUMBER(INDIRECT("'"&amp;M$6&amp;"'!"&amp;M$4&amp;ROW()-43)))),"-",INDIRECT("'"&amp;M$6&amp;"'!"&amp;M$4&amp;ROW()-43))</f>
        <v>-</v>
      </c>
      <c r="N162" s="31">
        <f ca="1" t="shared" ref="N162:N172" si="58">SUM(B162:M162)</f>
        <v>0</v>
      </c>
      <c r="O162" s="31">
        <f ca="1" t="shared" ref="O162:O172" si="59">N162/COLUMNS(B162:M162)</f>
        <v>0</v>
      </c>
    </row>
    <row r="163" s="28" customFormat="1" ht="15" customHeight="1" spans="1:15">
      <c r="A163" s="13" t="str">
        <f>'Section-Category'!A128</f>
        <v>Books</v>
      </c>
      <c r="B163" s="120" t="str">
        <f ca="1" t="array" ref="B163">IF(OR(TRIM(INDIRECT("'"&amp;B$6&amp;"'!"&amp;B$4&amp;ROW()-43))="0",INDIRECT("'"&amp;B$6&amp;"'!"&amp;B$4&amp;ROW()-43)="",NOT(ISNUMBER(INDIRECT("'"&amp;B$6&amp;"'!"&amp;B$4&amp;ROW()-43)))),"-",INDIRECT("'"&amp;B$6&amp;"'!"&amp;B$4&amp;ROW()-43))</f>
        <v>-</v>
      </c>
      <c r="C163" s="120" t="str">
        <f ca="1" t="array" ref="C163">IF(OR(TRIM(INDIRECT("'"&amp;C$6&amp;"'!"&amp;C$4&amp;ROW()-43))="0",INDIRECT("'"&amp;C$6&amp;"'!"&amp;C$4&amp;ROW()-43)="",NOT(ISNUMBER(INDIRECT("'"&amp;C$6&amp;"'!"&amp;C$4&amp;ROW()-43)))),"-",INDIRECT("'"&amp;C$6&amp;"'!"&amp;C$4&amp;ROW()-43))</f>
        <v>-</v>
      </c>
      <c r="D163" s="120" t="str">
        <f ca="1" t="array" ref="D163">IF(OR(TRIM(INDIRECT("'"&amp;D$6&amp;"'!"&amp;D$4&amp;ROW()-43))="0",INDIRECT("'"&amp;D$6&amp;"'!"&amp;D$4&amp;ROW()-43)="",NOT(ISNUMBER(INDIRECT("'"&amp;D$6&amp;"'!"&amp;D$4&amp;ROW()-43)))),"-",INDIRECT("'"&amp;D$6&amp;"'!"&amp;D$4&amp;ROW()-43))</f>
        <v>-</v>
      </c>
      <c r="E163" s="120" t="str">
        <f ca="1" t="array" ref="E163">IF(OR(TRIM(INDIRECT("'"&amp;E$6&amp;"'!"&amp;E$4&amp;ROW()-43))="0",INDIRECT("'"&amp;E$6&amp;"'!"&amp;E$4&amp;ROW()-43)="",NOT(ISNUMBER(INDIRECT("'"&amp;E$6&amp;"'!"&amp;E$4&amp;ROW()-43)))),"-",INDIRECT("'"&amp;E$6&amp;"'!"&amp;E$4&amp;ROW()-43))</f>
        <v>-</v>
      </c>
      <c r="F163" s="120" t="str">
        <f ca="1" t="array" ref="F163">IF(OR(TRIM(INDIRECT("'"&amp;F$6&amp;"'!"&amp;F$4&amp;ROW()-43))="0",INDIRECT("'"&amp;F$6&amp;"'!"&amp;F$4&amp;ROW()-43)="",NOT(ISNUMBER(INDIRECT("'"&amp;F$6&amp;"'!"&amp;F$4&amp;ROW()-43)))),"-",INDIRECT("'"&amp;F$6&amp;"'!"&amp;F$4&amp;ROW()-43))</f>
        <v>-</v>
      </c>
      <c r="G163" s="120" t="str">
        <f ca="1" t="array" ref="G163">IF(OR(TRIM(INDIRECT("'"&amp;G$6&amp;"'!"&amp;G$4&amp;ROW()-43))="0",INDIRECT("'"&amp;G$6&amp;"'!"&amp;G$4&amp;ROW()-43)="",NOT(ISNUMBER(INDIRECT("'"&amp;G$6&amp;"'!"&amp;G$4&amp;ROW()-43)))),"-",INDIRECT("'"&amp;G$6&amp;"'!"&amp;G$4&amp;ROW()-43))</f>
        <v>-</v>
      </c>
      <c r="H163" s="120" t="str">
        <f ca="1" t="array" ref="H163">IF(OR(TRIM(INDIRECT("'"&amp;H$6&amp;"'!"&amp;H$4&amp;ROW()-43))="0",INDIRECT("'"&amp;H$6&amp;"'!"&amp;H$4&amp;ROW()-43)="",NOT(ISNUMBER(INDIRECT("'"&amp;H$6&amp;"'!"&amp;H$4&amp;ROW()-43)))),"-",INDIRECT("'"&amp;H$6&amp;"'!"&amp;H$4&amp;ROW()-43))</f>
        <v>-</v>
      </c>
      <c r="I163" s="120" t="str">
        <f ca="1" t="array" ref="I163">IF(OR(TRIM(INDIRECT("'"&amp;I$6&amp;"'!"&amp;I$4&amp;ROW()-43))="0",INDIRECT("'"&amp;I$6&amp;"'!"&amp;I$4&amp;ROW()-43)="",NOT(ISNUMBER(INDIRECT("'"&amp;I$6&amp;"'!"&amp;I$4&amp;ROW()-43)))),"-",INDIRECT("'"&amp;I$6&amp;"'!"&amp;I$4&amp;ROW()-43))</f>
        <v>-</v>
      </c>
      <c r="J163" s="120" t="str">
        <f ca="1" t="array" ref="J163">IF(OR(TRIM(INDIRECT("'"&amp;J$6&amp;"'!"&amp;J$4&amp;ROW()-43))="0",INDIRECT("'"&amp;J$6&amp;"'!"&amp;J$4&amp;ROW()-43)="",NOT(ISNUMBER(INDIRECT("'"&amp;J$6&amp;"'!"&amp;J$4&amp;ROW()-43)))),"-",INDIRECT("'"&amp;J$6&amp;"'!"&amp;J$4&amp;ROW()-43))</f>
        <v>-</v>
      </c>
      <c r="K163" s="120" t="str">
        <f ca="1" t="array" ref="K163">IF(OR(TRIM(INDIRECT("'"&amp;K$6&amp;"'!"&amp;K$4&amp;ROW()-43))="0",INDIRECT("'"&amp;K$6&amp;"'!"&amp;K$4&amp;ROW()-43)="",NOT(ISNUMBER(INDIRECT("'"&amp;K$6&amp;"'!"&amp;K$4&amp;ROW()-43)))),"-",INDIRECT("'"&amp;K$6&amp;"'!"&amp;K$4&amp;ROW()-43))</f>
        <v>-</v>
      </c>
      <c r="L163" s="120" t="str">
        <f ca="1" t="array" ref="L163">IF(OR(TRIM(INDIRECT("'"&amp;L$6&amp;"'!"&amp;L$4&amp;ROW()-43))="0",INDIRECT("'"&amp;L$6&amp;"'!"&amp;L$4&amp;ROW()-43)="",NOT(ISNUMBER(INDIRECT("'"&amp;L$6&amp;"'!"&amp;L$4&amp;ROW()-43)))),"-",INDIRECT("'"&amp;L$6&amp;"'!"&amp;L$4&amp;ROW()-43))</f>
        <v>-</v>
      </c>
      <c r="M163" s="120" t="str">
        <f ca="1" t="array" ref="M163">IF(OR(TRIM(INDIRECT("'"&amp;M$6&amp;"'!"&amp;M$4&amp;ROW()-43))="0",INDIRECT("'"&amp;M$6&amp;"'!"&amp;M$4&amp;ROW()-43)="",NOT(ISNUMBER(INDIRECT("'"&amp;M$6&amp;"'!"&amp;M$4&amp;ROW()-43)))),"-",INDIRECT("'"&amp;M$6&amp;"'!"&amp;M$4&amp;ROW()-43))</f>
        <v>-</v>
      </c>
      <c r="N163" s="31">
        <f ca="1" t="shared" si="58"/>
        <v>0</v>
      </c>
      <c r="O163" s="31">
        <f ca="1" t="shared" si="59"/>
        <v>0</v>
      </c>
    </row>
    <row r="164" s="28" customFormat="1" ht="15" customHeight="1" spans="1:15">
      <c r="A164" s="13" t="str">
        <f>'Section-Category'!A129</f>
        <v>Games</v>
      </c>
      <c r="B164" s="120" t="str">
        <f ca="1" t="array" ref="B164">IF(OR(TRIM(INDIRECT("'"&amp;B$6&amp;"'!"&amp;B$4&amp;ROW()-43))="0",INDIRECT("'"&amp;B$6&amp;"'!"&amp;B$4&amp;ROW()-43)="",NOT(ISNUMBER(INDIRECT("'"&amp;B$6&amp;"'!"&amp;B$4&amp;ROW()-43)))),"-",INDIRECT("'"&amp;B$6&amp;"'!"&amp;B$4&amp;ROW()-43))</f>
        <v>-</v>
      </c>
      <c r="C164" s="120" t="str">
        <f ca="1" t="array" ref="C164">IF(OR(TRIM(INDIRECT("'"&amp;C$6&amp;"'!"&amp;C$4&amp;ROW()-43))="0",INDIRECT("'"&amp;C$6&amp;"'!"&amp;C$4&amp;ROW()-43)="",NOT(ISNUMBER(INDIRECT("'"&amp;C$6&amp;"'!"&amp;C$4&amp;ROW()-43)))),"-",INDIRECT("'"&amp;C$6&amp;"'!"&amp;C$4&amp;ROW()-43))</f>
        <v>-</v>
      </c>
      <c r="D164" s="120" t="str">
        <f ca="1" t="array" ref="D164">IF(OR(TRIM(INDIRECT("'"&amp;D$6&amp;"'!"&amp;D$4&amp;ROW()-43))="0",INDIRECT("'"&amp;D$6&amp;"'!"&amp;D$4&amp;ROW()-43)="",NOT(ISNUMBER(INDIRECT("'"&amp;D$6&amp;"'!"&amp;D$4&amp;ROW()-43)))),"-",INDIRECT("'"&amp;D$6&amp;"'!"&amp;D$4&amp;ROW()-43))</f>
        <v>-</v>
      </c>
      <c r="E164" s="120" t="str">
        <f ca="1" t="array" ref="E164">IF(OR(TRIM(INDIRECT("'"&amp;E$6&amp;"'!"&amp;E$4&amp;ROW()-43))="0",INDIRECT("'"&amp;E$6&amp;"'!"&amp;E$4&amp;ROW()-43)="",NOT(ISNUMBER(INDIRECT("'"&amp;E$6&amp;"'!"&amp;E$4&amp;ROW()-43)))),"-",INDIRECT("'"&amp;E$6&amp;"'!"&amp;E$4&amp;ROW()-43))</f>
        <v>-</v>
      </c>
      <c r="F164" s="120" t="str">
        <f ca="1" t="array" ref="F164">IF(OR(TRIM(INDIRECT("'"&amp;F$6&amp;"'!"&amp;F$4&amp;ROW()-43))="0",INDIRECT("'"&amp;F$6&amp;"'!"&amp;F$4&amp;ROW()-43)="",NOT(ISNUMBER(INDIRECT("'"&amp;F$6&amp;"'!"&amp;F$4&amp;ROW()-43)))),"-",INDIRECT("'"&amp;F$6&amp;"'!"&amp;F$4&amp;ROW()-43))</f>
        <v>-</v>
      </c>
      <c r="G164" s="120" t="str">
        <f ca="1" t="array" ref="G164">IF(OR(TRIM(INDIRECT("'"&amp;G$6&amp;"'!"&amp;G$4&amp;ROW()-43))="0",INDIRECT("'"&amp;G$6&amp;"'!"&amp;G$4&amp;ROW()-43)="",NOT(ISNUMBER(INDIRECT("'"&amp;G$6&amp;"'!"&amp;G$4&amp;ROW()-43)))),"-",INDIRECT("'"&amp;G$6&amp;"'!"&amp;G$4&amp;ROW()-43))</f>
        <v>-</v>
      </c>
      <c r="H164" s="120" t="str">
        <f ca="1" t="array" ref="H164">IF(OR(TRIM(INDIRECT("'"&amp;H$6&amp;"'!"&amp;H$4&amp;ROW()-43))="0",INDIRECT("'"&amp;H$6&amp;"'!"&amp;H$4&amp;ROW()-43)="",NOT(ISNUMBER(INDIRECT("'"&amp;H$6&amp;"'!"&amp;H$4&amp;ROW()-43)))),"-",INDIRECT("'"&amp;H$6&amp;"'!"&amp;H$4&amp;ROW()-43))</f>
        <v>-</v>
      </c>
      <c r="I164" s="120" t="str">
        <f ca="1" t="array" ref="I164">IF(OR(TRIM(INDIRECT("'"&amp;I$6&amp;"'!"&amp;I$4&amp;ROW()-43))="0",INDIRECT("'"&amp;I$6&amp;"'!"&amp;I$4&amp;ROW()-43)="",NOT(ISNUMBER(INDIRECT("'"&amp;I$6&amp;"'!"&amp;I$4&amp;ROW()-43)))),"-",INDIRECT("'"&amp;I$6&amp;"'!"&amp;I$4&amp;ROW()-43))</f>
        <v>-</v>
      </c>
      <c r="J164" s="120" t="str">
        <f ca="1" t="array" ref="J164">IF(OR(TRIM(INDIRECT("'"&amp;J$6&amp;"'!"&amp;J$4&amp;ROW()-43))="0",INDIRECT("'"&amp;J$6&amp;"'!"&amp;J$4&amp;ROW()-43)="",NOT(ISNUMBER(INDIRECT("'"&amp;J$6&amp;"'!"&amp;J$4&amp;ROW()-43)))),"-",INDIRECT("'"&amp;J$6&amp;"'!"&amp;J$4&amp;ROW()-43))</f>
        <v>-</v>
      </c>
      <c r="K164" s="120" t="str">
        <f ca="1" t="array" ref="K164">IF(OR(TRIM(INDIRECT("'"&amp;K$6&amp;"'!"&amp;K$4&amp;ROW()-43))="0",INDIRECT("'"&amp;K$6&amp;"'!"&amp;K$4&amp;ROW()-43)="",NOT(ISNUMBER(INDIRECT("'"&amp;K$6&amp;"'!"&amp;K$4&amp;ROW()-43)))),"-",INDIRECT("'"&amp;K$6&amp;"'!"&amp;K$4&amp;ROW()-43))</f>
        <v>-</v>
      </c>
      <c r="L164" s="120" t="str">
        <f ca="1" t="array" ref="L164">IF(OR(TRIM(INDIRECT("'"&amp;L$6&amp;"'!"&amp;L$4&amp;ROW()-43))="0",INDIRECT("'"&amp;L$6&amp;"'!"&amp;L$4&amp;ROW()-43)="",NOT(ISNUMBER(INDIRECT("'"&amp;L$6&amp;"'!"&amp;L$4&amp;ROW()-43)))),"-",INDIRECT("'"&amp;L$6&amp;"'!"&amp;L$4&amp;ROW()-43))</f>
        <v>-</v>
      </c>
      <c r="M164" s="120" t="str">
        <f ca="1" t="array" ref="M164">IF(OR(TRIM(INDIRECT("'"&amp;M$6&amp;"'!"&amp;M$4&amp;ROW()-43))="0",INDIRECT("'"&amp;M$6&amp;"'!"&amp;M$4&amp;ROW()-43)="",NOT(ISNUMBER(INDIRECT("'"&amp;M$6&amp;"'!"&amp;M$4&amp;ROW()-43)))),"-",INDIRECT("'"&amp;M$6&amp;"'!"&amp;M$4&amp;ROW()-43))</f>
        <v>-</v>
      </c>
      <c r="N164" s="31">
        <f ca="1" t="shared" si="58"/>
        <v>0</v>
      </c>
      <c r="O164" s="31">
        <f ca="1" t="shared" si="59"/>
        <v>0</v>
      </c>
    </row>
    <row r="165" s="28" customFormat="1" ht="15" customHeight="1" spans="1:15">
      <c r="A165" s="13" t="str">
        <f>'Section-Category'!A130</f>
        <v>Fun Stuff</v>
      </c>
      <c r="B165" s="120" t="str">
        <f ca="1" t="array" ref="B165">IF(OR(TRIM(INDIRECT("'"&amp;B$6&amp;"'!"&amp;B$4&amp;ROW()-43))="0",INDIRECT("'"&amp;B$6&amp;"'!"&amp;B$4&amp;ROW()-43)="",NOT(ISNUMBER(INDIRECT("'"&amp;B$6&amp;"'!"&amp;B$4&amp;ROW()-43)))),"-",INDIRECT("'"&amp;B$6&amp;"'!"&amp;B$4&amp;ROW()-43))</f>
        <v>-</v>
      </c>
      <c r="C165" s="120" t="str">
        <f ca="1" t="array" ref="C165">IF(OR(TRIM(INDIRECT("'"&amp;C$6&amp;"'!"&amp;C$4&amp;ROW()-43))="0",INDIRECT("'"&amp;C$6&amp;"'!"&amp;C$4&amp;ROW()-43)="",NOT(ISNUMBER(INDIRECT("'"&amp;C$6&amp;"'!"&amp;C$4&amp;ROW()-43)))),"-",INDIRECT("'"&amp;C$6&amp;"'!"&amp;C$4&amp;ROW()-43))</f>
        <v>-</v>
      </c>
      <c r="D165" s="120" t="str">
        <f ca="1" t="array" ref="D165">IF(OR(TRIM(INDIRECT("'"&amp;D$6&amp;"'!"&amp;D$4&amp;ROW()-43))="0",INDIRECT("'"&amp;D$6&amp;"'!"&amp;D$4&amp;ROW()-43)="",NOT(ISNUMBER(INDIRECT("'"&amp;D$6&amp;"'!"&amp;D$4&amp;ROW()-43)))),"-",INDIRECT("'"&amp;D$6&amp;"'!"&amp;D$4&amp;ROW()-43))</f>
        <v>-</v>
      </c>
      <c r="E165" s="120" t="str">
        <f ca="1" t="array" ref="E165">IF(OR(TRIM(INDIRECT("'"&amp;E$6&amp;"'!"&amp;E$4&amp;ROW()-43))="0",INDIRECT("'"&amp;E$6&amp;"'!"&amp;E$4&amp;ROW()-43)="",NOT(ISNUMBER(INDIRECT("'"&amp;E$6&amp;"'!"&amp;E$4&amp;ROW()-43)))),"-",INDIRECT("'"&amp;E$6&amp;"'!"&amp;E$4&amp;ROW()-43))</f>
        <v>-</v>
      </c>
      <c r="F165" s="120" t="str">
        <f ca="1" t="array" ref="F165">IF(OR(TRIM(INDIRECT("'"&amp;F$6&amp;"'!"&amp;F$4&amp;ROW()-43))="0",INDIRECT("'"&amp;F$6&amp;"'!"&amp;F$4&amp;ROW()-43)="",NOT(ISNUMBER(INDIRECT("'"&amp;F$6&amp;"'!"&amp;F$4&amp;ROW()-43)))),"-",INDIRECT("'"&amp;F$6&amp;"'!"&amp;F$4&amp;ROW()-43))</f>
        <v>-</v>
      </c>
      <c r="G165" s="120" t="str">
        <f ca="1" t="array" ref="G165">IF(OR(TRIM(INDIRECT("'"&amp;G$6&amp;"'!"&amp;G$4&amp;ROW()-43))="0",INDIRECT("'"&amp;G$6&amp;"'!"&amp;G$4&amp;ROW()-43)="",NOT(ISNUMBER(INDIRECT("'"&amp;G$6&amp;"'!"&amp;G$4&amp;ROW()-43)))),"-",INDIRECT("'"&amp;G$6&amp;"'!"&amp;G$4&amp;ROW()-43))</f>
        <v>-</v>
      </c>
      <c r="H165" s="120" t="str">
        <f ca="1" t="array" ref="H165">IF(OR(TRIM(INDIRECT("'"&amp;H$6&amp;"'!"&amp;H$4&amp;ROW()-43))="0",INDIRECT("'"&amp;H$6&amp;"'!"&amp;H$4&amp;ROW()-43)="",NOT(ISNUMBER(INDIRECT("'"&amp;H$6&amp;"'!"&amp;H$4&amp;ROW()-43)))),"-",INDIRECT("'"&amp;H$6&amp;"'!"&amp;H$4&amp;ROW()-43))</f>
        <v>-</v>
      </c>
      <c r="I165" s="120" t="str">
        <f ca="1" t="array" ref="I165">IF(OR(TRIM(INDIRECT("'"&amp;I$6&amp;"'!"&amp;I$4&amp;ROW()-43))="0",INDIRECT("'"&amp;I$6&amp;"'!"&amp;I$4&amp;ROW()-43)="",NOT(ISNUMBER(INDIRECT("'"&amp;I$6&amp;"'!"&amp;I$4&amp;ROW()-43)))),"-",INDIRECT("'"&amp;I$6&amp;"'!"&amp;I$4&amp;ROW()-43))</f>
        <v>-</v>
      </c>
      <c r="J165" s="120" t="str">
        <f ca="1" t="array" ref="J165">IF(OR(TRIM(INDIRECT("'"&amp;J$6&amp;"'!"&amp;J$4&amp;ROW()-43))="0",INDIRECT("'"&amp;J$6&amp;"'!"&amp;J$4&amp;ROW()-43)="",NOT(ISNUMBER(INDIRECT("'"&amp;J$6&amp;"'!"&amp;J$4&amp;ROW()-43)))),"-",INDIRECT("'"&amp;J$6&amp;"'!"&amp;J$4&amp;ROW()-43))</f>
        <v>-</v>
      </c>
      <c r="K165" s="120" t="str">
        <f ca="1" t="array" ref="K165">IF(OR(TRIM(INDIRECT("'"&amp;K$6&amp;"'!"&amp;K$4&amp;ROW()-43))="0",INDIRECT("'"&amp;K$6&amp;"'!"&amp;K$4&amp;ROW()-43)="",NOT(ISNUMBER(INDIRECT("'"&amp;K$6&amp;"'!"&amp;K$4&amp;ROW()-43)))),"-",INDIRECT("'"&amp;K$6&amp;"'!"&amp;K$4&amp;ROW()-43))</f>
        <v>-</v>
      </c>
      <c r="L165" s="120" t="str">
        <f ca="1" t="array" ref="L165">IF(OR(TRIM(INDIRECT("'"&amp;L$6&amp;"'!"&amp;L$4&amp;ROW()-43))="0",INDIRECT("'"&amp;L$6&amp;"'!"&amp;L$4&amp;ROW()-43)="",NOT(ISNUMBER(INDIRECT("'"&amp;L$6&amp;"'!"&amp;L$4&amp;ROW()-43)))),"-",INDIRECT("'"&amp;L$6&amp;"'!"&amp;L$4&amp;ROW()-43))</f>
        <v>-</v>
      </c>
      <c r="M165" s="120" t="str">
        <f ca="1" t="array" ref="M165">IF(OR(TRIM(INDIRECT("'"&amp;M$6&amp;"'!"&amp;M$4&amp;ROW()-43))="0",INDIRECT("'"&amp;M$6&amp;"'!"&amp;M$4&amp;ROW()-43)="",NOT(ISNUMBER(INDIRECT("'"&amp;M$6&amp;"'!"&amp;M$4&amp;ROW()-43)))),"-",INDIRECT("'"&amp;M$6&amp;"'!"&amp;M$4&amp;ROW()-43))</f>
        <v>-</v>
      </c>
      <c r="N165" s="31">
        <f ca="1" t="shared" si="58"/>
        <v>0</v>
      </c>
      <c r="O165" s="31">
        <f ca="1" t="shared" si="59"/>
        <v>0</v>
      </c>
    </row>
    <row r="166" s="28" customFormat="1" ht="15" customHeight="1" spans="1:15">
      <c r="A166" s="13" t="str">
        <f>'Section-Category'!A131</f>
        <v>Hobbies</v>
      </c>
      <c r="B166" s="120" t="str">
        <f ca="1" t="array" ref="B166">IF(OR(TRIM(INDIRECT("'"&amp;B$6&amp;"'!"&amp;B$4&amp;ROW()-43))="0",INDIRECT("'"&amp;B$6&amp;"'!"&amp;B$4&amp;ROW()-43)="",NOT(ISNUMBER(INDIRECT("'"&amp;B$6&amp;"'!"&amp;B$4&amp;ROW()-43)))),"-",INDIRECT("'"&amp;B$6&amp;"'!"&amp;B$4&amp;ROW()-43))</f>
        <v>-</v>
      </c>
      <c r="C166" s="120" t="str">
        <f ca="1" t="array" ref="C166">IF(OR(TRIM(INDIRECT("'"&amp;C$6&amp;"'!"&amp;C$4&amp;ROW()-43))="0",INDIRECT("'"&amp;C$6&amp;"'!"&amp;C$4&amp;ROW()-43)="",NOT(ISNUMBER(INDIRECT("'"&amp;C$6&amp;"'!"&amp;C$4&amp;ROW()-43)))),"-",INDIRECT("'"&amp;C$6&amp;"'!"&amp;C$4&amp;ROW()-43))</f>
        <v>-</v>
      </c>
      <c r="D166" s="120" t="str">
        <f ca="1" t="array" ref="D166">IF(OR(TRIM(INDIRECT("'"&amp;D$6&amp;"'!"&amp;D$4&amp;ROW()-43))="0",INDIRECT("'"&amp;D$6&amp;"'!"&amp;D$4&amp;ROW()-43)="",NOT(ISNUMBER(INDIRECT("'"&amp;D$6&amp;"'!"&amp;D$4&amp;ROW()-43)))),"-",INDIRECT("'"&amp;D$6&amp;"'!"&amp;D$4&amp;ROW()-43))</f>
        <v>-</v>
      </c>
      <c r="E166" s="120" t="str">
        <f ca="1" t="array" ref="E166">IF(OR(TRIM(INDIRECT("'"&amp;E$6&amp;"'!"&amp;E$4&amp;ROW()-43))="0",INDIRECT("'"&amp;E$6&amp;"'!"&amp;E$4&amp;ROW()-43)="",NOT(ISNUMBER(INDIRECT("'"&amp;E$6&amp;"'!"&amp;E$4&amp;ROW()-43)))),"-",INDIRECT("'"&amp;E$6&amp;"'!"&amp;E$4&amp;ROW()-43))</f>
        <v>-</v>
      </c>
      <c r="F166" s="120" t="str">
        <f ca="1" t="array" ref="F166">IF(OR(TRIM(INDIRECT("'"&amp;F$6&amp;"'!"&amp;F$4&amp;ROW()-43))="0",INDIRECT("'"&amp;F$6&amp;"'!"&amp;F$4&amp;ROW()-43)="",NOT(ISNUMBER(INDIRECT("'"&amp;F$6&amp;"'!"&amp;F$4&amp;ROW()-43)))),"-",INDIRECT("'"&amp;F$6&amp;"'!"&amp;F$4&amp;ROW()-43))</f>
        <v>-</v>
      </c>
      <c r="G166" s="120" t="str">
        <f ca="1" t="array" ref="G166">IF(OR(TRIM(INDIRECT("'"&amp;G$6&amp;"'!"&amp;G$4&amp;ROW()-43))="0",INDIRECT("'"&amp;G$6&amp;"'!"&amp;G$4&amp;ROW()-43)="",NOT(ISNUMBER(INDIRECT("'"&amp;G$6&amp;"'!"&amp;G$4&amp;ROW()-43)))),"-",INDIRECT("'"&amp;G$6&amp;"'!"&amp;G$4&amp;ROW()-43))</f>
        <v>-</v>
      </c>
      <c r="H166" s="120" t="str">
        <f ca="1" t="array" ref="H166">IF(OR(TRIM(INDIRECT("'"&amp;H$6&amp;"'!"&amp;H$4&amp;ROW()-43))="0",INDIRECT("'"&amp;H$6&amp;"'!"&amp;H$4&amp;ROW()-43)="",NOT(ISNUMBER(INDIRECT("'"&amp;H$6&amp;"'!"&amp;H$4&amp;ROW()-43)))),"-",INDIRECT("'"&amp;H$6&amp;"'!"&amp;H$4&amp;ROW()-43))</f>
        <v>-</v>
      </c>
      <c r="I166" s="120" t="str">
        <f ca="1" t="array" ref="I166">IF(OR(TRIM(INDIRECT("'"&amp;I$6&amp;"'!"&amp;I$4&amp;ROW()-43))="0",INDIRECT("'"&amp;I$6&amp;"'!"&amp;I$4&amp;ROW()-43)="",NOT(ISNUMBER(INDIRECT("'"&amp;I$6&amp;"'!"&amp;I$4&amp;ROW()-43)))),"-",INDIRECT("'"&amp;I$6&amp;"'!"&amp;I$4&amp;ROW()-43))</f>
        <v>-</v>
      </c>
      <c r="J166" s="120" t="str">
        <f ca="1" t="array" ref="J166">IF(OR(TRIM(INDIRECT("'"&amp;J$6&amp;"'!"&amp;J$4&amp;ROW()-43))="0",INDIRECT("'"&amp;J$6&amp;"'!"&amp;J$4&amp;ROW()-43)="",NOT(ISNUMBER(INDIRECT("'"&amp;J$6&amp;"'!"&amp;J$4&amp;ROW()-43)))),"-",INDIRECT("'"&amp;J$6&amp;"'!"&amp;J$4&amp;ROW()-43))</f>
        <v>-</v>
      </c>
      <c r="K166" s="120" t="str">
        <f ca="1" t="array" ref="K166">IF(OR(TRIM(INDIRECT("'"&amp;K$6&amp;"'!"&amp;K$4&amp;ROW()-43))="0",INDIRECT("'"&amp;K$6&amp;"'!"&amp;K$4&amp;ROW()-43)="",NOT(ISNUMBER(INDIRECT("'"&amp;K$6&amp;"'!"&amp;K$4&amp;ROW()-43)))),"-",INDIRECT("'"&amp;K$6&amp;"'!"&amp;K$4&amp;ROW()-43))</f>
        <v>-</v>
      </c>
      <c r="L166" s="120" t="str">
        <f ca="1" t="array" ref="L166">IF(OR(TRIM(INDIRECT("'"&amp;L$6&amp;"'!"&amp;L$4&amp;ROW()-43))="0",INDIRECT("'"&amp;L$6&amp;"'!"&amp;L$4&amp;ROW()-43)="",NOT(ISNUMBER(INDIRECT("'"&amp;L$6&amp;"'!"&amp;L$4&amp;ROW()-43)))),"-",INDIRECT("'"&amp;L$6&amp;"'!"&amp;L$4&amp;ROW()-43))</f>
        <v>-</v>
      </c>
      <c r="M166" s="120" t="str">
        <f ca="1" t="array" ref="M166">IF(OR(TRIM(INDIRECT("'"&amp;M$6&amp;"'!"&amp;M$4&amp;ROW()-43))="0",INDIRECT("'"&amp;M$6&amp;"'!"&amp;M$4&amp;ROW()-43)="",NOT(ISNUMBER(INDIRECT("'"&amp;M$6&amp;"'!"&amp;M$4&amp;ROW()-43)))),"-",INDIRECT("'"&amp;M$6&amp;"'!"&amp;M$4&amp;ROW()-43))</f>
        <v>-</v>
      </c>
      <c r="N166" s="31">
        <f ca="1" t="shared" si="58"/>
        <v>0</v>
      </c>
      <c r="O166" s="31">
        <f ca="1" t="shared" si="59"/>
        <v>0</v>
      </c>
    </row>
    <row r="167" s="28" customFormat="1" ht="15" customHeight="1" spans="1:15">
      <c r="A167" s="13" t="str">
        <f>'Section-Category'!A132</f>
        <v>Media</v>
      </c>
      <c r="B167" s="120" t="str">
        <f ca="1" t="array" ref="B167">IF(OR(TRIM(INDIRECT("'"&amp;B$6&amp;"'!"&amp;B$4&amp;ROW()-43))="0",INDIRECT("'"&amp;B$6&amp;"'!"&amp;B$4&amp;ROW()-43)="",NOT(ISNUMBER(INDIRECT("'"&amp;B$6&amp;"'!"&amp;B$4&amp;ROW()-43)))),"-",INDIRECT("'"&amp;B$6&amp;"'!"&amp;B$4&amp;ROW()-43))</f>
        <v>-</v>
      </c>
      <c r="C167" s="120" t="str">
        <f ca="1" t="array" ref="C167">IF(OR(TRIM(INDIRECT("'"&amp;C$6&amp;"'!"&amp;C$4&amp;ROW()-43))="0",INDIRECT("'"&amp;C$6&amp;"'!"&amp;C$4&amp;ROW()-43)="",NOT(ISNUMBER(INDIRECT("'"&amp;C$6&amp;"'!"&amp;C$4&amp;ROW()-43)))),"-",INDIRECT("'"&amp;C$6&amp;"'!"&amp;C$4&amp;ROW()-43))</f>
        <v>-</v>
      </c>
      <c r="D167" s="120" t="str">
        <f ca="1" t="array" ref="D167">IF(OR(TRIM(INDIRECT("'"&amp;D$6&amp;"'!"&amp;D$4&amp;ROW()-43))="0",INDIRECT("'"&amp;D$6&amp;"'!"&amp;D$4&amp;ROW()-43)="",NOT(ISNUMBER(INDIRECT("'"&amp;D$6&amp;"'!"&amp;D$4&amp;ROW()-43)))),"-",INDIRECT("'"&amp;D$6&amp;"'!"&amp;D$4&amp;ROW()-43))</f>
        <v>-</v>
      </c>
      <c r="E167" s="120" t="str">
        <f ca="1" t="array" ref="E167">IF(OR(TRIM(INDIRECT("'"&amp;E$6&amp;"'!"&amp;E$4&amp;ROW()-43))="0",INDIRECT("'"&amp;E$6&amp;"'!"&amp;E$4&amp;ROW()-43)="",NOT(ISNUMBER(INDIRECT("'"&amp;E$6&amp;"'!"&amp;E$4&amp;ROW()-43)))),"-",INDIRECT("'"&amp;E$6&amp;"'!"&amp;E$4&amp;ROW()-43))</f>
        <v>-</v>
      </c>
      <c r="F167" s="120" t="str">
        <f ca="1" t="array" ref="F167">IF(OR(TRIM(INDIRECT("'"&amp;F$6&amp;"'!"&amp;F$4&amp;ROW()-43))="0",INDIRECT("'"&amp;F$6&amp;"'!"&amp;F$4&amp;ROW()-43)="",NOT(ISNUMBER(INDIRECT("'"&amp;F$6&amp;"'!"&amp;F$4&amp;ROW()-43)))),"-",INDIRECT("'"&amp;F$6&amp;"'!"&amp;F$4&amp;ROW()-43))</f>
        <v>-</v>
      </c>
      <c r="G167" s="120" t="str">
        <f ca="1" t="array" ref="G167">IF(OR(TRIM(INDIRECT("'"&amp;G$6&amp;"'!"&amp;G$4&amp;ROW()-43))="0",INDIRECT("'"&amp;G$6&amp;"'!"&amp;G$4&amp;ROW()-43)="",NOT(ISNUMBER(INDIRECT("'"&amp;G$6&amp;"'!"&amp;G$4&amp;ROW()-43)))),"-",INDIRECT("'"&amp;G$6&amp;"'!"&amp;G$4&amp;ROW()-43))</f>
        <v>-</v>
      </c>
      <c r="H167" s="120" t="str">
        <f ca="1" t="array" ref="H167">IF(OR(TRIM(INDIRECT("'"&amp;H$6&amp;"'!"&amp;H$4&amp;ROW()-43))="0",INDIRECT("'"&amp;H$6&amp;"'!"&amp;H$4&amp;ROW()-43)="",NOT(ISNUMBER(INDIRECT("'"&amp;H$6&amp;"'!"&amp;H$4&amp;ROW()-43)))),"-",INDIRECT("'"&amp;H$6&amp;"'!"&amp;H$4&amp;ROW()-43))</f>
        <v>-</v>
      </c>
      <c r="I167" s="120" t="str">
        <f ca="1" t="array" ref="I167">IF(OR(TRIM(INDIRECT("'"&amp;I$6&amp;"'!"&amp;I$4&amp;ROW()-43))="0",INDIRECT("'"&amp;I$6&amp;"'!"&amp;I$4&amp;ROW()-43)="",NOT(ISNUMBER(INDIRECT("'"&amp;I$6&amp;"'!"&amp;I$4&amp;ROW()-43)))),"-",INDIRECT("'"&amp;I$6&amp;"'!"&amp;I$4&amp;ROW()-43))</f>
        <v>-</v>
      </c>
      <c r="J167" s="120" t="str">
        <f ca="1" t="array" ref="J167">IF(OR(TRIM(INDIRECT("'"&amp;J$6&amp;"'!"&amp;J$4&amp;ROW()-43))="0",INDIRECT("'"&amp;J$6&amp;"'!"&amp;J$4&amp;ROW()-43)="",NOT(ISNUMBER(INDIRECT("'"&amp;J$6&amp;"'!"&amp;J$4&amp;ROW()-43)))),"-",INDIRECT("'"&amp;J$6&amp;"'!"&amp;J$4&amp;ROW()-43))</f>
        <v>-</v>
      </c>
      <c r="K167" s="120" t="str">
        <f ca="1" t="array" ref="K167">IF(OR(TRIM(INDIRECT("'"&amp;K$6&amp;"'!"&amp;K$4&amp;ROW()-43))="0",INDIRECT("'"&amp;K$6&amp;"'!"&amp;K$4&amp;ROW()-43)="",NOT(ISNUMBER(INDIRECT("'"&amp;K$6&amp;"'!"&amp;K$4&amp;ROW()-43)))),"-",INDIRECT("'"&amp;K$6&amp;"'!"&amp;K$4&amp;ROW()-43))</f>
        <v>-</v>
      </c>
      <c r="L167" s="120" t="str">
        <f ca="1" t="array" ref="L167">IF(OR(TRIM(INDIRECT("'"&amp;L$6&amp;"'!"&amp;L$4&amp;ROW()-43))="0",INDIRECT("'"&amp;L$6&amp;"'!"&amp;L$4&amp;ROW()-43)="",NOT(ISNUMBER(INDIRECT("'"&amp;L$6&amp;"'!"&amp;L$4&amp;ROW()-43)))),"-",INDIRECT("'"&amp;L$6&amp;"'!"&amp;L$4&amp;ROW()-43))</f>
        <v>-</v>
      </c>
      <c r="M167" s="120" t="str">
        <f ca="1" t="array" ref="M167">IF(OR(TRIM(INDIRECT("'"&amp;M$6&amp;"'!"&amp;M$4&amp;ROW()-43))="0",INDIRECT("'"&amp;M$6&amp;"'!"&amp;M$4&amp;ROW()-43)="",NOT(ISNUMBER(INDIRECT("'"&amp;M$6&amp;"'!"&amp;M$4&amp;ROW()-43)))),"-",INDIRECT("'"&amp;M$6&amp;"'!"&amp;M$4&amp;ROW()-43))</f>
        <v>-</v>
      </c>
      <c r="N167" s="31">
        <f ca="1" t="shared" si="58"/>
        <v>0</v>
      </c>
      <c r="O167" s="31">
        <f ca="1" t="shared" si="59"/>
        <v>0</v>
      </c>
    </row>
    <row r="168" s="28" customFormat="1" ht="15" customHeight="1" spans="1:15">
      <c r="A168" s="13" t="str">
        <f>'Section-Category'!A133</f>
        <v>Outdoor Recreation</v>
      </c>
      <c r="B168" s="120" t="str">
        <f ca="1" t="array" ref="B168">IF(OR(TRIM(INDIRECT("'"&amp;B$6&amp;"'!"&amp;B$4&amp;ROW()-43))="0",INDIRECT("'"&amp;B$6&amp;"'!"&amp;B$4&amp;ROW()-43)="",NOT(ISNUMBER(INDIRECT("'"&amp;B$6&amp;"'!"&amp;B$4&amp;ROW()-43)))),"-",INDIRECT("'"&amp;B$6&amp;"'!"&amp;B$4&amp;ROW()-43))</f>
        <v>-</v>
      </c>
      <c r="C168" s="120" t="str">
        <f ca="1" t="array" ref="C168">IF(OR(TRIM(INDIRECT("'"&amp;C$6&amp;"'!"&amp;C$4&amp;ROW()-43))="0",INDIRECT("'"&amp;C$6&amp;"'!"&amp;C$4&amp;ROW()-43)="",NOT(ISNUMBER(INDIRECT("'"&amp;C$6&amp;"'!"&amp;C$4&amp;ROW()-43)))),"-",INDIRECT("'"&amp;C$6&amp;"'!"&amp;C$4&amp;ROW()-43))</f>
        <v>-</v>
      </c>
      <c r="D168" s="120" t="str">
        <f ca="1" t="array" ref="D168">IF(OR(TRIM(INDIRECT("'"&amp;D$6&amp;"'!"&amp;D$4&amp;ROW()-43))="0",INDIRECT("'"&amp;D$6&amp;"'!"&amp;D$4&amp;ROW()-43)="",NOT(ISNUMBER(INDIRECT("'"&amp;D$6&amp;"'!"&amp;D$4&amp;ROW()-43)))),"-",INDIRECT("'"&amp;D$6&amp;"'!"&amp;D$4&amp;ROW()-43))</f>
        <v>-</v>
      </c>
      <c r="E168" s="120" t="str">
        <f ca="1" t="array" ref="E168">IF(OR(TRIM(INDIRECT("'"&amp;E$6&amp;"'!"&amp;E$4&amp;ROW()-43))="0",INDIRECT("'"&amp;E$6&amp;"'!"&amp;E$4&amp;ROW()-43)="",NOT(ISNUMBER(INDIRECT("'"&amp;E$6&amp;"'!"&amp;E$4&amp;ROW()-43)))),"-",INDIRECT("'"&amp;E$6&amp;"'!"&amp;E$4&amp;ROW()-43))</f>
        <v>-</v>
      </c>
      <c r="F168" s="120" t="str">
        <f ca="1" t="array" ref="F168">IF(OR(TRIM(INDIRECT("'"&amp;F$6&amp;"'!"&amp;F$4&amp;ROW()-43))="0",INDIRECT("'"&amp;F$6&amp;"'!"&amp;F$4&amp;ROW()-43)="",NOT(ISNUMBER(INDIRECT("'"&amp;F$6&amp;"'!"&amp;F$4&amp;ROW()-43)))),"-",INDIRECT("'"&amp;F$6&amp;"'!"&amp;F$4&amp;ROW()-43))</f>
        <v>-</v>
      </c>
      <c r="G168" s="120" t="str">
        <f ca="1" t="array" ref="G168">IF(OR(TRIM(INDIRECT("'"&amp;G$6&amp;"'!"&amp;G$4&amp;ROW()-43))="0",INDIRECT("'"&amp;G$6&amp;"'!"&amp;G$4&amp;ROW()-43)="",NOT(ISNUMBER(INDIRECT("'"&amp;G$6&amp;"'!"&amp;G$4&amp;ROW()-43)))),"-",INDIRECT("'"&amp;G$6&amp;"'!"&amp;G$4&amp;ROW()-43))</f>
        <v>-</v>
      </c>
      <c r="H168" s="120" t="str">
        <f ca="1" t="array" ref="H168">IF(OR(TRIM(INDIRECT("'"&amp;H$6&amp;"'!"&amp;H$4&amp;ROW()-43))="0",INDIRECT("'"&amp;H$6&amp;"'!"&amp;H$4&amp;ROW()-43)="",NOT(ISNUMBER(INDIRECT("'"&amp;H$6&amp;"'!"&amp;H$4&amp;ROW()-43)))),"-",INDIRECT("'"&amp;H$6&amp;"'!"&amp;H$4&amp;ROW()-43))</f>
        <v>-</v>
      </c>
      <c r="I168" s="120" t="str">
        <f ca="1" t="array" ref="I168">IF(OR(TRIM(INDIRECT("'"&amp;I$6&amp;"'!"&amp;I$4&amp;ROW()-43))="0",INDIRECT("'"&amp;I$6&amp;"'!"&amp;I$4&amp;ROW()-43)="",NOT(ISNUMBER(INDIRECT("'"&amp;I$6&amp;"'!"&amp;I$4&amp;ROW()-43)))),"-",INDIRECT("'"&amp;I$6&amp;"'!"&amp;I$4&amp;ROW()-43))</f>
        <v>-</v>
      </c>
      <c r="J168" s="120" t="str">
        <f ca="1" t="array" ref="J168">IF(OR(TRIM(INDIRECT("'"&amp;J$6&amp;"'!"&amp;J$4&amp;ROW()-43))="0",INDIRECT("'"&amp;J$6&amp;"'!"&amp;J$4&amp;ROW()-43)="",NOT(ISNUMBER(INDIRECT("'"&amp;J$6&amp;"'!"&amp;J$4&amp;ROW()-43)))),"-",INDIRECT("'"&amp;J$6&amp;"'!"&amp;J$4&amp;ROW()-43))</f>
        <v>-</v>
      </c>
      <c r="K168" s="120" t="str">
        <f ca="1" t="array" ref="K168">IF(OR(TRIM(INDIRECT("'"&amp;K$6&amp;"'!"&amp;K$4&amp;ROW()-43))="0",INDIRECT("'"&amp;K$6&amp;"'!"&amp;K$4&amp;ROW()-43)="",NOT(ISNUMBER(INDIRECT("'"&amp;K$6&amp;"'!"&amp;K$4&amp;ROW()-43)))),"-",INDIRECT("'"&amp;K$6&amp;"'!"&amp;K$4&amp;ROW()-43))</f>
        <v>-</v>
      </c>
      <c r="L168" s="120" t="str">
        <f ca="1" t="array" ref="L168">IF(OR(TRIM(INDIRECT("'"&amp;L$6&amp;"'!"&amp;L$4&amp;ROW()-43))="0",INDIRECT("'"&amp;L$6&amp;"'!"&amp;L$4&amp;ROW()-43)="",NOT(ISNUMBER(INDIRECT("'"&amp;L$6&amp;"'!"&amp;L$4&amp;ROW()-43)))),"-",INDIRECT("'"&amp;L$6&amp;"'!"&amp;L$4&amp;ROW()-43))</f>
        <v>-</v>
      </c>
      <c r="M168" s="120" t="str">
        <f ca="1" t="array" ref="M168">IF(OR(TRIM(INDIRECT("'"&amp;M$6&amp;"'!"&amp;M$4&amp;ROW()-43))="0",INDIRECT("'"&amp;M$6&amp;"'!"&amp;M$4&amp;ROW()-43)="",NOT(ISNUMBER(INDIRECT("'"&amp;M$6&amp;"'!"&amp;M$4&amp;ROW()-43)))),"-",INDIRECT("'"&amp;M$6&amp;"'!"&amp;M$4&amp;ROW()-43))</f>
        <v>-</v>
      </c>
      <c r="N168" s="31">
        <f ca="1" t="shared" si="58"/>
        <v>0</v>
      </c>
      <c r="O168" s="31">
        <f ca="1" t="shared" si="59"/>
        <v>0</v>
      </c>
    </row>
    <row r="169" s="28" customFormat="1" ht="15" customHeight="1" spans="1:15">
      <c r="A169" s="13" t="str">
        <f>'Section-Category'!A134</f>
        <v>Sports</v>
      </c>
      <c r="B169" s="120" t="str">
        <f ca="1" t="array" ref="B169">IF(OR(TRIM(INDIRECT("'"&amp;B$6&amp;"'!"&amp;B$4&amp;ROW()-43))="0",INDIRECT("'"&amp;B$6&amp;"'!"&amp;B$4&amp;ROW()-43)="",NOT(ISNUMBER(INDIRECT("'"&amp;B$6&amp;"'!"&amp;B$4&amp;ROW()-43)))),"-",INDIRECT("'"&amp;B$6&amp;"'!"&amp;B$4&amp;ROW()-43))</f>
        <v>-</v>
      </c>
      <c r="C169" s="120" t="str">
        <f ca="1" t="array" ref="C169">IF(OR(TRIM(INDIRECT("'"&amp;C$6&amp;"'!"&amp;C$4&amp;ROW()-43))="0",INDIRECT("'"&amp;C$6&amp;"'!"&amp;C$4&amp;ROW()-43)="",NOT(ISNUMBER(INDIRECT("'"&amp;C$6&amp;"'!"&amp;C$4&amp;ROW()-43)))),"-",INDIRECT("'"&amp;C$6&amp;"'!"&amp;C$4&amp;ROW()-43))</f>
        <v>-</v>
      </c>
      <c r="D169" s="120" t="str">
        <f ca="1" t="array" ref="D169">IF(OR(TRIM(INDIRECT("'"&amp;D$6&amp;"'!"&amp;D$4&amp;ROW()-43))="0",INDIRECT("'"&amp;D$6&amp;"'!"&amp;D$4&amp;ROW()-43)="",NOT(ISNUMBER(INDIRECT("'"&amp;D$6&amp;"'!"&amp;D$4&amp;ROW()-43)))),"-",INDIRECT("'"&amp;D$6&amp;"'!"&amp;D$4&amp;ROW()-43))</f>
        <v>-</v>
      </c>
      <c r="E169" s="120" t="str">
        <f ca="1" t="array" ref="E169">IF(OR(TRIM(INDIRECT("'"&amp;E$6&amp;"'!"&amp;E$4&amp;ROW()-43))="0",INDIRECT("'"&amp;E$6&amp;"'!"&amp;E$4&amp;ROW()-43)="",NOT(ISNUMBER(INDIRECT("'"&amp;E$6&amp;"'!"&amp;E$4&amp;ROW()-43)))),"-",INDIRECT("'"&amp;E$6&amp;"'!"&amp;E$4&amp;ROW()-43))</f>
        <v>-</v>
      </c>
      <c r="F169" s="120" t="str">
        <f ca="1" t="array" ref="F169">IF(OR(TRIM(INDIRECT("'"&amp;F$6&amp;"'!"&amp;F$4&amp;ROW()-43))="0",INDIRECT("'"&amp;F$6&amp;"'!"&amp;F$4&amp;ROW()-43)="",NOT(ISNUMBER(INDIRECT("'"&amp;F$6&amp;"'!"&amp;F$4&amp;ROW()-43)))),"-",INDIRECT("'"&amp;F$6&amp;"'!"&amp;F$4&amp;ROW()-43))</f>
        <v>-</v>
      </c>
      <c r="G169" s="120" t="str">
        <f ca="1" t="array" ref="G169">IF(OR(TRIM(INDIRECT("'"&amp;G$6&amp;"'!"&amp;G$4&amp;ROW()-43))="0",INDIRECT("'"&amp;G$6&amp;"'!"&amp;G$4&amp;ROW()-43)="",NOT(ISNUMBER(INDIRECT("'"&amp;G$6&amp;"'!"&amp;G$4&amp;ROW()-43)))),"-",INDIRECT("'"&amp;G$6&amp;"'!"&amp;G$4&amp;ROW()-43))</f>
        <v>-</v>
      </c>
      <c r="H169" s="120" t="str">
        <f ca="1" t="array" ref="H169">IF(OR(TRIM(INDIRECT("'"&amp;H$6&amp;"'!"&amp;H$4&amp;ROW()-43))="0",INDIRECT("'"&amp;H$6&amp;"'!"&amp;H$4&amp;ROW()-43)="",NOT(ISNUMBER(INDIRECT("'"&amp;H$6&amp;"'!"&amp;H$4&amp;ROW()-43)))),"-",INDIRECT("'"&amp;H$6&amp;"'!"&amp;H$4&amp;ROW()-43))</f>
        <v>-</v>
      </c>
      <c r="I169" s="120" t="str">
        <f ca="1" t="array" ref="I169">IF(OR(TRIM(INDIRECT("'"&amp;I$6&amp;"'!"&amp;I$4&amp;ROW()-43))="0",INDIRECT("'"&amp;I$6&amp;"'!"&amp;I$4&amp;ROW()-43)="",NOT(ISNUMBER(INDIRECT("'"&amp;I$6&amp;"'!"&amp;I$4&amp;ROW()-43)))),"-",INDIRECT("'"&amp;I$6&amp;"'!"&amp;I$4&amp;ROW()-43))</f>
        <v>-</v>
      </c>
      <c r="J169" s="120" t="str">
        <f ca="1" t="array" ref="J169">IF(OR(TRIM(INDIRECT("'"&amp;J$6&amp;"'!"&amp;J$4&amp;ROW()-43))="0",INDIRECT("'"&amp;J$6&amp;"'!"&amp;J$4&amp;ROW()-43)="",NOT(ISNUMBER(INDIRECT("'"&amp;J$6&amp;"'!"&amp;J$4&amp;ROW()-43)))),"-",INDIRECT("'"&amp;J$6&amp;"'!"&amp;J$4&amp;ROW()-43))</f>
        <v>-</v>
      </c>
      <c r="K169" s="120" t="str">
        <f ca="1" t="array" ref="K169">IF(OR(TRIM(INDIRECT("'"&amp;K$6&amp;"'!"&amp;K$4&amp;ROW()-43))="0",INDIRECT("'"&amp;K$6&amp;"'!"&amp;K$4&amp;ROW()-43)="",NOT(ISNUMBER(INDIRECT("'"&amp;K$6&amp;"'!"&amp;K$4&amp;ROW()-43)))),"-",INDIRECT("'"&amp;K$6&amp;"'!"&amp;K$4&amp;ROW()-43))</f>
        <v>-</v>
      </c>
      <c r="L169" s="120" t="str">
        <f ca="1" t="array" ref="L169">IF(OR(TRIM(INDIRECT("'"&amp;L$6&amp;"'!"&amp;L$4&amp;ROW()-43))="0",INDIRECT("'"&amp;L$6&amp;"'!"&amp;L$4&amp;ROW()-43)="",NOT(ISNUMBER(INDIRECT("'"&amp;L$6&amp;"'!"&amp;L$4&amp;ROW()-43)))),"-",INDIRECT("'"&amp;L$6&amp;"'!"&amp;L$4&amp;ROW()-43))</f>
        <v>-</v>
      </c>
      <c r="M169" s="120" t="str">
        <f ca="1" t="array" ref="M169">IF(OR(TRIM(INDIRECT("'"&amp;M$6&amp;"'!"&amp;M$4&amp;ROW()-43))="0",INDIRECT("'"&amp;M$6&amp;"'!"&amp;M$4&amp;ROW()-43)="",NOT(ISNUMBER(INDIRECT("'"&amp;M$6&amp;"'!"&amp;M$4&amp;ROW()-43)))),"-",INDIRECT("'"&amp;M$6&amp;"'!"&amp;M$4&amp;ROW()-43))</f>
        <v>-</v>
      </c>
      <c r="N169" s="31">
        <f ca="1" t="shared" si="58"/>
        <v>0</v>
      </c>
      <c r="O169" s="31">
        <f ca="1" t="shared" si="59"/>
        <v>0</v>
      </c>
    </row>
    <row r="170" s="28" customFormat="1" ht="15" customHeight="1" spans="1:15">
      <c r="A170" s="13" t="str">
        <f>'Section-Category'!A135</f>
        <v>Toys/Gadgets</v>
      </c>
      <c r="B170" s="120" t="str">
        <f ca="1" t="array" ref="B170">IF(OR(TRIM(INDIRECT("'"&amp;B$6&amp;"'!"&amp;B$4&amp;ROW()-43))="0",INDIRECT("'"&amp;B$6&amp;"'!"&amp;B$4&amp;ROW()-43)="",NOT(ISNUMBER(INDIRECT("'"&amp;B$6&amp;"'!"&amp;B$4&amp;ROW()-43)))),"-",INDIRECT("'"&amp;B$6&amp;"'!"&amp;B$4&amp;ROW()-43))</f>
        <v>-</v>
      </c>
      <c r="C170" s="120" t="str">
        <f ca="1" t="array" ref="C170">IF(OR(TRIM(INDIRECT("'"&amp;C$6&amp;"'!"&amp;C$4&amp;ROW()-43))="0",INDIRECT("'"&amp;C$6&amp;"'!"&amp;C$4&amp;ROW()-43)="",NOT(ISNUMBER(INDIRECT("'"&amp;C$6&amp;"'!"&amp;C$4&amp;ROW()-43)))),"-",INDIRECT("'"&amp;C$6&amp;"'!"&amp;C$4&amp;ROW()-43))</f>
        <v>-</v>
      </c>
      <c r="D170" s="120" t="str">
        <f ca="1" t="array" ref="D170">IF(OR(TRIM(INDIRECT("'"&amp;D$6&amp;"'!"&amp;D$4&amp;ROW()-43))="0",INDIRECT("'"&amp;D$6&amp;"'!"&amp;D$4&amp;ROW()-43)="",NOT(ISNUMBER(INDIRECT("'"&amp;D$6&amp;"'!"&amp;D$4&amp;ROW()-43)))),"-",INDIRECT("'"&amp;D$6&amp;"'!"&amp;D$4&amp;ROW()-43))</f>
        <v>-</v>
      </c>
      <c r="E170" s="120" t="str">
        <f ca="1" t="array" ref="E170">IF(OR(TRIM(INDIRECT("'"&amp;E$6&amp;"'!"&amp;E$4&amp;ROW()-43))="0",INDIRECT("'"&amp;E$6&amp;"'!"&amp;E$4&amp;ROW()-43)="",NOT(ISNUMBER(INDIRECT("'"&amp;E$6&amp;"'!"&amp;E$4&amp;ROW()-43)))),"-",INDIRECT("'"&amp;E$6&amp;"'!"&amp;E$4&amp;ROW()-43))</f>
        <v>-</v>
      </c>
      <c r="F170" s="120" t="str">
        <f ca="1" t="array" ref="F170">IF(OR(TRIM(INDIRECT("'"&amp;F$6&amp;"'!"&amp;F$4&amp;ROW()-43))="0",INDIRECT("'"&amp;F$6&amp;"'!"&amp;F$4&amp;ROW()-43)="",NOT(ISNUMBER(INDIRECT("'"&amp;F$6&amp;"'!"&amp;F$4&amp;ROW()-43)))),"-",INDIRECT("'"&amp;F$6&amp;"'!"&amp;F$4&amp;ROW()-43))</f>
        <v>-</v>
      </c>
      <c r="G170" s="120" t="str">
        <f ca="1" t="array" ref="G170">IF(OR(TRIM(INDIRECT("'"&amp;G$6&amp;"'!"&amp;G$4&amp;ROW()-43))="0",INDIRECT("'"&amp;G$6&amp;"'!"&amp;G$4&amp;ROW()-43)="",NOT(ISNUMBER(INDIRECT("'"&amp;G$6&amp;"'!"&amp;G$4&amp;ROW()-43)))),"-",INDIRECT("'"&amp;G$6&amp;"'!"&amp;G$4&amp;ROW()-43))</f>
        <v>-</v>
      </c>
      <c r="H170" s="120" t="str">
        <f ca="1" t="array" ref="H170">IF(OR(TRIM(INDIRECT("'"&amp;H$6&amp;"'!"&amp;H$4&amp;ROW()-43))="0",INDIRECT("'"&amp;H$6&amp;"'!"&amp;H$4&amp;ROW()-43)="",NOT(ISNUMBER(INDIRECT("'"&amp;H$6&amp;"'!"&amp;H$4&amp;ROW()-43)))),"-",INDIRECT("'"&amp;H$6&amp;"'!"&amp;H$4&amp;ROW()-43))</f>
        <v>-</v>
      </c>
      <c r="I170" s="120" t="str">
        <f ca="1" t="array" ref="I170">IF(OR(TRIM(INDIRECT("'"&amp;I$6&amp;"'!"&amp;I$4&amp;ROW()-43))="0",INDIRECT("'"&amp;I$6&amp;"'!"&amp;I$4&amp;ROW()-43)="",NOT(ISNUMBER(INDIRECT("'"&amp;I$6&amp;"'!"&amp;I$4&amp;ROW()-43)))),"-",INDIRECT("'"&amp;I$6&amp;"'!"&amp;I$4&amp;ROW()-43))</f>
        <v>-</v>
      </c>
      <c r="J170" s="120" t="str">
        <f ca="1" t="array" ref="J170">IF(OR(TRIM(INDIRECT("'"&amp;J$6&amp;"'!"&amp;J$4&amp;ROW()-43))="0",INDIRECT("'"&amp;J$6&amp;"'!"&amp;J$4&amp;ROW()-43)="",NOT(ISNUMBER(INDIRECT("'"&amp;J$6&amp;"'!"&amp;J$4&amp;ROW()-43)))),"-",INDIRECT("'"&amp;J$6&amp;"'!"&amp;J$4&amp;ROW()-43))</f>
        <v>-</v>
      </c>
      <c r="K170" s="120" t="str">
        <f ca="1" t="array" ref="K170">IF(OR(TRIM(INDIRECT("'"&amp;K$6&amp;"'!"&amp;K$4&amp;ROW()-43))="0",INDIRECT("'"&amp;K$6&amp;"'!"&amp;K$4&amp;ROW()-43)="",NOT(ISNUMBER(INDIRECT("'"&amp;K$6&amp;"'!"&amp;K$4&amp;ROW()-43)))),"-",INDIRECT("'"&amp;K$6&amp;"'!"&amp;K$4&amp;ROW()-43))</f>
        <v>-</v>
      </c>
      <c r="L170" s="120" t="str">
        <f ca="1" t="array" ref="L170">IF(OR(TRIM(INDIRECT("'"&amp;L$6&amp;"'!"&amp;L$4&amp;ROW()-43))="0",INDIRECT("'"&amp;L$6&amp;"'!"&amp;L$4&amp;ROW()-43)="",NOT(ISNUMBER(INDIRECT("'"&amp;L$6&amp;"'!"&amp;L$4&amp;ROW()-43)))),"-",INDIRECT("'"&amp;L$6&amp;"'!"&amp;L$4&amp;ROW()-43))</f>
        <v>-</v>
      </c>
      <c r="M170" s="120" t="str">
        <f ca="1" t="array" ref="M170">IF(OR(TRIM(INDIRECT("'"&amp;M$6&amp;"'!"&amp;M$4&amp;ROW()-43))="0",INDIRECT("'"&amp;M$6&amp;"'!"&amp;M$4&amp;ROW()-43)="",NOT(ISNUMBER(INDIRECT("'"&amp;M$6&amp;"'!"&amp;M$4&amp;ROW()-43)))),"-",INDIRECT("'"&amp;M$6&amp;"'!"&amp;M$4&amp;ROW()-43))</f>
        <v>-</v>
      </c>
      <c r="N170" s="31">
        <f ca="1" t="shared" si="58"/>
        <v>0</v>
      </c>
      <c r="O170" s="31">
        <f ca="1" t="shared" si="59"/>
        <v>0</v>
      </c>
    </row>
    <row r="171" s="28" customFormat="1" ht="15" customHeight="1" spans="1:15">
      <c r="A171" s="13" t="str">
        <f>'Section-Category'!A136</f>
        <v>Vacation/Travel</v>
      </c>
      <c r="B171" s="120" t="str">
        <f ca="1" t="array" ref="B171">IF(OR(TRIM(INDIRECT("'"&amp;B$6&amp;"'!"&amp;B$4&amp;ROW()-43))="0",INDIRECT("'"&amp;B$6&amp;"'!"&amp;B$4&amp;ROW()-43)="",NOT(ISNUMBER(INDIRECT("'"&amp;B$6&amp;"'!"&amp;B$4&amp;ROW()-43)))),"-",INDIRECT("'"&amp;B$6&amp;"'!"&amp;B$4&amp;ROW()-43))</f>
        <v>-</v>
      </c>
      <c r="C171" s="120" t="str">
        <f ca="1" t="array" ref="C171">IF(OR(TRIM(INDIRECT("'"&amp;C$6&amp;"'!"&amp;C$4&amp;ROW()-43))="0",INDIRECT("'"&amp;C$6&amp;"'!"&amp;C$4&amp;ROW()-43)="",NOT(ISNUMBER(INDIRECT("'"&amp;C$6&amp;"'!"&amp;C$4&amp;ROW()-43)))),"-",INDIRECT("'"&amp;C$6&amp;"'!"&amp;C$4&amp;ROW()-43))</f>
        <v>-</v>
      </c>
      <c r="D171" s="120" t="str">
        <f ca="1" t="array" ref="D171">IF(OR(TRIM(INDIRECT("'"&amp;D$6&amp;"'!"&amp;D$4&amp;ROW()-43))="0",INDIRECT("'"&amp;D$6&amp;"'!"&amp;D$4&amp;ROW()-43)="",NOT(ISNUMBER(INDIRECT("'"&amp;D$6&amp;"'!"&amp;D$4&amp;ROW()-43)))),"-",INDIRECT("'"&amp;D$6&amp;"'!"&amp;D$4&amp;ROW()-43))</f>
        <v>-</v>
      </c>
      <c r="E171" s="120" t="str">
        <f ca="1" t="array" ref="E171">IF(OR(TRIM(INDIRECT("'"&amp;E$6&amp;"'!"&amp;E$4&amp;ROW()-43))="0",INDIRECT("'"&amp;E$6&amp;"'!"&amp;E$4&amp;ROW()-43)="",NOT(ISNUMBER(INDIRECT("'"&amp;E$6&amp;"'!"&amp;E$4&amp;ROW()-43)))),"-",INDIRECT("'"&amp;E$6&amp;"'!"&amp;E$4&amp;ROW()-43))</f>
        <v>-</v>
      </c>
      <c r="F171" s="120" t="str">
        <f ca="1" t="array" ref="F171">IF(OR(TRIM(INDIRECT("'"&amp;F$6&amp;"'!"&amp;F$4&amp;ROW()-43))="0",INDIRECT("'"&amp;F$6&amp;"'!"&amp;F$4&amp;ROW()-43)="",NOT(ISNUMBER(INDIRECT("'"&amp;F$6&amp;"'!"&amp;F$4&amp;ROW()-43)))),"-",INDIRECT("'"&amp;F$6&amp;"'!"&amp;F$4&amp;ROW()-43))</f>
        <v>-</v>
      </c>
      <c r="G171" s="120" t="str">
        <f ca="1" t="array" ref="G171">IF(OR(TRIM(INDIRECT("'"&amp;G$6&amp;"'!"&amp;G$4&amp;ROW()-43))="0",INDIRECT("'"&amp;G$6&amp;"'!"&amp;G$4&amp;ROW()-43)="",NOT(ISNUMBER(INDIRECT("'"&amp;G$6&amp;"'!"&amp;G$4&amp;ROW()-43)))),"-",INDIRECT("'"&amp;G$6&amp;"'!"&amp;G$4&amp;ROW()-43))</f>
        <v>-</v>
      </c>
      <c r="H171" s="120" t="str">
        <f ca="1" t="array" ref="H171">IF(OR(TRIM(INDIRECT("'"&amp;H$6&amp;"'!"&amp;H$4&amp;ROW()-43))="0",INDIRECT("'"&amp;H$6&amp;"'!"&amp;H$4&amp;ROW()-43)="",NOT(ISNUMBER(INDIRECT("'"&amp;H$6&amp;"'!"&amp;H$4&amp;ROW()-43)))),"-",INDIRECT("'"&amp;H$6&amp;"'!"&amp;H$4&amp;ROW()-43))</f>
        <v>-</v>
      </c>
      <c r="I171" s="120" t="str">
        <f ca="1" t="array" ref="I171">IF(OR(TRIM(INDIRECT("'"&amp;I$6&amp;"'!"&amp;I$4&amp;ROW()-43))="0",INDIRECT("'"&amp;I$6&amp;"'!"&amp;I$4&amp;ROW()-43)="",NOT(ISNUMBER(INDIRECT("'"&amp;I$6&amp;"'!"&amp;I$4&amp;ROW()-43)))),"-",INDIRECT("'"&amp;I$6&amp;"'!"&amp;I$4&amp;ROW()-43))</f>
        <v>-</v>
      </c>
      <c r="J171" s="120" t="str">
        <f ca="1" t="array" ref="J171">IF(OR(TRIM(INDIRECT("'"&amp;J$6&amp;"'!"&amp;J$4&amp;ROW()-43))="0",INDIRECT("'"&amp;J$6&amp;"'!"&amp;J$4&amp;ROW()-43)="",NOT(ISNUMBER(INDIRECT("'"&amp;J$6&amp;"'!"&amp;J$4&amp;ROW()-43)))),"-",INDIRECT("'"&amp;J$6&amp;"'!"&amp;J$4&amp;ROW()-43))</f>
        <v>-</v>
      </c>
      <c r="K171" s="120" t="str">
        <f ca="1" t="array" ref="K171">IF(OR(TRIM(INDIRECT("'"&amp;K$6&amp;"'!"&amp;K$4&amp;ROW()-43))="0",INDIRECT("'"&amp;K$6&amp;"'!"&amp;K$4&amp;ROW()-43)="",NOT(ISNUMBER(INDIRECT("'"&amp;K$6&amp;"'!"&amp;K$4&amp;ROW()-43)))),"-",INDIRECT("'"&amp;K$6&amp;"'!"&amp;K$4&amp;ROW()-43))</f>
        <v>-</v>
      </c>
      <c r="L171" s="120" t="str">
        <f ca="1" t="array" ref="L171">IF(OR(TRIM(INDIRECT("'"&amp;L$6&amp;"'!"&amp;L$4&amp;ROW()-43))="0",INDIRECT("'"&amp;L$6&amp;"'!"&amp;L$4&amp;ROW()-43)="",NOT(ISNUMBER(INDIRECT("'"&amp;L$6&amp;"'!"&amp;L$4&amp;ROW()-43)))),"-",INDIRECT("'"&amp;L$6&amp;"'!"&amp;L$4&amp;ROW()-43))</f>
        <v>-</v>
      </c>
      <c r="M171" s="120" t="str">
        <f ca="1" t="array" ref="M171">IF(OR(TRIM(INDIRECT("'"&amp;M$6&amp;"'!"&amp;M$4&amp;ROW()-43))="0",INDIRECT("'"&amp;M$6&amp;"'!"&amp;M$4&amp;ROW()-43)="",NOT(ISNUMBER(INDIRECT("'"&amp;M$6&amp;"'!"&amp;M$4&amp;ROW()-43)))),"-",INDIRECT("'"&amp;M$6&amp;"'!"&amp;M$4&amp;ROW()-43))</f>
        <v>-</v>
      </c>
      <c r="N171" s="31">
        <f ca="1" t="shared" si="58"/>
        <v>0</v>
      </c>
      <c r="O171" s="31">
        <f ca="1" t="shared" si="59"/>
        <v>0</v>
      </c>
    </row>
    <row r="172" s="28" customFormat="1" ht="15.75" customHeight="1" spans="1:15">
      <c r="A172" s="13" t="str">
        <f>'Section-Category'!A137</f>
        <v>Other</v>
      </c>
      <c r="B172" s="120" t="str">
        <f ca="1" t="array" ref="B172">IF(OR(TRIM(INDIRECT("'"&amp;B$6&amp;"'!"&amp;B$4&amp;ROW()-43))="0",INDIRECT("'"&amp;B$6&amp;"'!"&amp;B$4&amp;ROW()-43)="",NOT(ISNUMBER(INDIRECT("'"&amp;B$6&amp;"'!"&amp;B$4&amp;ROW()-43)))),"-",INDIRECT("'"&amp;B$6&amp;"'!"&amp;B$4&amp;ROW()-43))</f>
        <v>-</v>
      </c>
      <c r="C172" s="120" t="str">
        <f ca="1" t="array" ref="C172">IF(OR(TRIM(INDIRECT("'"&amp;C$6&amp;"'!"&amp;C$4&amp;ROW()-43))="0",INDIRECT("'"&amp;C$6&amp;"'!"&amp;C$4&amp;ROW()-43)="",NOT(ISNUMBER(INDIRECT("'"&amp;C$6&amp;"'!"&amp;C$4&amp;ROW()-43)))),"-",INDIRECT("'"&amp;C$6&amp;"'!"&amp;C$4&amp;ROW()-43))</f>
        <v>-</v>
      </c>
      <c r="D172" s="120" t="str">
        <f ca="1" t="array" ref="D172">IF(OR(TRIM(INDIRECT("'"&amp;D$6&amp;"'!"&amp;D$4&amp;ROW()-43))="0",INDIRECT("'"&amp;D$6&amp;"'!"&amp;D$4&amp;ROW()-43)="",NOT(ISNUMBER(INDIRECT("'"&amp;D$6&amp;"'!"&amp;D$4&amp;ROW()-43)))),"-",INDIRECT("'"&amp;D$6&amp;"'!"&amp;D$4&amp;ROW()-43))</f>
        <v>-</v>
      </c>
      <c r="E172" s="120" t="str">
        <f ca="1" t="array" ref="E172">IF(OR(TRIM(INDIRECT("'"&amp;E$6&amp;"'!"&amp;E$4&amp;ROW()-43))="0",INDIRECT("'"&amp;E$6&amp;"'!"&amp;E$4&amp;ROW()-43)="",NOT(ISNUMBER(INDIRECT("'"&amp;E$6&amp;"'!"&amp;E$4&amp;ROW()-43)))),"-",INDIRECT("'"&amp;E$6&amp;"'!"&amp;E$4&amp;ROW()-43))</f>
        <v>-</v>
      </c>
      <c r="F172" s="120" t="str">
        <f ca="1" t="array" ref="F172">IF(OR(TRIM(INDIRECT("'"&amp;F$6&amp;"'!"&amp;F$4&amp;ROW()-43))="0",INDIRECT("'"&amp;F$6&amp;"'!"&amp;F$4&amp;ROW()-43)="",NOT(ISNUMBER(INDIRECT("'"&amp;F$6&amp;"'!"&amp;F$4&amp;ROW()-43)))),"-",INDIRECT("'"&amp;F$6&amp;"'!"&amp;F$4&amp;ROW()-43))</f>
        <v>-</v>
      </c>
      <c r="G172" s="120" t="str">
        <f ca="1" t="array" ref="G172">IF(OR(TRIM(INDIRECT("'"&amp;G$6&amp;"'!"&amp;G$4&amp;ROW()-43))="0",INDIRECT("'"&amp;G$6&amp;"'!"&amp;G$4&amp;ROW()-43)="",NOT(ISNUMBER(INDIRECT("'"&amp;G$6&amp;"'!"&amp;G$4&amp;ROW()-43)))),"-",INDIRECT("'"&amp;G$6&amp;"'!"&amp;G$4&amp;ROW()-43))</f>
        <v>-</v>
      </c>
      <c r="H172" s="120" t="str">
        <f ca="1" t="array" ref="H172">IF(OR(TRIM(INDIRECT("'"&amp;H$6&amp;"'!"&amp;H$4&amp;ROW()-43))="0",INDIRECT("'"&amp;H$6&amp;"'!"&amp;H$4&amp;ROW()-43)="",NOT(ISNUMBER(INDIRECT("'"&amp;H$6&amp;"'!"&amp;H$4&amp;ROW()-43)))),"-",INDIRECT("'"&amp;H$6&amp;"'!"&amp;H$4&amp;ROW()-43))</f>
        <v>-</v>
      </c>
      <c r="I172" s="120" t="str">
        <f ca="1" t="array" ref="I172">IF(OR(TRIM(INDIRECT("'"&amp;I$6&amp;"'!"&amp;I$4&amp;ROW()-43))="0",INDIRECT("'"&amp;I$6&amp;"'!"&amp;I$4&amp;ROW()-43)="",NOT(ISNUMBER(INDIRECT("'"&amp;I$6&amp;"'!"&amp;I$4&amp;ROW()-43)))),"-",INDIRECT("'"&amp;I$6&amp;"'!"&amp;I$4&amp;ROW()-43))</f>
        <v>-</v>
      </c>
      <c r="J172" s="120" t="str">
        <f ca="1" t="array" ref="J172">IF(OR(TRIM(INDIRECT("'"&amp;J$6&amp;"'!"&amp;J$4&amp;ROW()-43))="0",INDIRECT("'"&amp;J$6&amp;"'!"&amp;J$4&amp;ROW()-43)="",NOT(ISNUMBER(INDIRECT("'"&amp;J$6&amp;"'!"&amp;J$4&amp;ROW()-43)))),"-",INDIRECT("'"&amp;J$6&amp;"'!"&amp;J$4&amp;ROW()-43))</f>
        <v>-</v>
      </c>
      <c r="K172" s="120" t="str">
        <f ca="1" t="array" ref="K172">IF(OR(TRIM(INDIRECT("'"&amp;K$6&amp;"'!"&amp;K$4&amp;ROW()-43))="0",INDIRECT("'"&amp;K$6&amp;"'!"&amp;K$4&amp;ROW()-43)="",NOT(ISNUMBER(INDIRECT("'"&amp;K$6&amp;"'!"&amp;K$4&amp;ROW()-43)))),"-",INDIRECT("'"&amp;K$6&amp;"'!"&amp;K$4&amp;ROW()-43))</f>
        <v>-</v>
      </c>
      <c r="L172" s="120" t="str">
        <f ca="1" t="array" ref="L172">IF(OR(TRIM(INDIRECT("'"&amp;L$6&amp;"'!"&amp;L$4&amp;ROW()-43))="0",INDIRECT("'"&amp;L$6&amp;"'!"&amp;L$4&amp;ROW()-43)="",NOT(ISNUMBER(INDIRECT("'"&amp;L$6&amp;"'!"&amp;L$4&amp;ROW()-43)))),"-",INDIRECT("'"&amp;L$6&amp;"'!"&amp;L$4&amp;ROW()-43))</f>
        <v>-</v>
      </c>
      <c r="M172" s="120" t="str">
        <f ca="1" t="array" ref="M172">IF(OR(TRIM(INDIRECT("'"&amp;M$6&amp;"'!"&amp;M$4&amp;ROW()-43))="0",INDIRECT("'"&amp;M$6&amp;"'!"&amp;M$4&amp;ROW()-43)="",NOT(ISNUMBER(INDIRECT("'"&amp;M$6&amp;"'!"&amp;M$4&amp;ROW()-43)))),"-",INDIRECT("'"&amp;M$6&amp;"'!"&amp;M$4&amp;ROW()-43))</f>
        <v>-</v>
      </c>
      <c r="N172" s="31">
        <f ca="1" t="shared" si="58"/>
        <v>0</v>
      </c>
      <c r="O172" s="31">
        <f ca="1" t="shared" si="59"/>
        <v>0</v>
      </c>
    </row>
    <row r="173" s="66" customFormat="1" ht="15" customHeight="1" spans="1:15">
      <c r="A173" s="10" t="str">
        <f>'Section-Category'!A138</f>
        <v>Total ENTERTAINMENT</v>
      </c>
      <c r="B173" s="123">
        <f ca="1" t="shared" ref="B173:O173" si="60">SUM(B162:B172)</f>
        <v>0</v>
      </c>
      <c r="C173" s="123">
        <f ca="1" t="shared" si="60"/>
        <v>0</v>
      </c>
      <c r="D173" s="123">
        <f ca="1" t="shared" si="60"/>
        <v>0</v>
      </c>
      <c r="E173" s="123">
        <f ca="1" t="shared" si="60"/>
        <v>0</v>
      </c>
      <c r="F173" s="123">
        <f ca="1" t="shared" si="60"/>
        <v>0</v>
      </c>
      <c r="G173" s="123">
        <f ca="1" t="shared" si="60"/>
        <v>0</v>
      </c>
      <c r="H173" s="123">
        <f ca="1" t="shared" si="60"/>
        <v>0</v>
      </c>
      <c r="I173" s="123">
        <f ca="1" t="shared" si="60"/>
        <v>0</v>
      </c>
      <c r="J173" s="123">
        <f ca="1" t="shared" si="60"/>
        <v>0</v>
      </c>
      <c r="K173" s="123">
        <f ca="1" t="shared" si="60"/>
        <v>0</v>
      </c>
      <c r="L173" s="123">
        <f ca="1" t="shared" si="60"/>
        <v>0</v>
      </c>
      <c r="M173" s="123">
        <f ca="1" t="shared" si="60"/>
        <v>0</v>
      </c>
      <c r="N173" s="39">
        <f ca="1" t="shared" si="60"/>
        <v>0</v>
      </c>
      <c r="O173" s="39">
        <f ca="1" t="shared" si="60"/>
        <v>0</v>
      </c>
    </row>
    <row r="174" s="66" customFormat="1" ht="13.5" customHeight="1" spans="1:15">
      <c r="A174" s="11" t="str">
        <f>'Section-Category'!A139</f>
        <v>% of Total Expenses</v>
      </c>
      <c r="B174" s="124" t="str">
        <f ca="1" t="shared" ref="B174:O174" si="61">IF(B$17=0," - ",B173/B$17)</f>
        <v> - </v>
      </c>
      <c r="C174" s="124" t="str">
        <f ca="1" t="shared" si="61"/>
        <v> - </v>
      </c>
      <c r="D174" s="124" t="str">
        <f ca="1" t="shared" si="61"/>
        <v> - </v>
      </c>
      <c r="E174" s="124" t="str">
        <f ca="1" t="shared" si="61"/>
        <v> - </v>
      </c>
      <c r="F174" s="124" t="str">
        <f ca="1" t="shared" si="61"/>
        <v> - </v>
      </c>
      <c r="G174" s="124" t="str">
        <f ca="1" t="shared" si="61"/>
        <v> - </v>
      </c>
      <c r="H174" s="124" t="str">
        <f ca="1" t="shared" si="61"/>
        <v> - </v>
      </c>
      <c r="I174" s="124" t="str">
        <f ca="1" t="shared" si="61"/>
        <v> - </v>
      </c>
      <c r="J174" s="124" t="str">
        <f ca="1" t="shared" si="61"/>
        <v> - </v>
      </c>
      <c r="K174" s="124" t="str">
        <f ca="1" t="shared" si="61"/>
        <v> - </v>
      </c>
      <c r="L174" s="124" t="str">
        <f ca="1" t="shared" si="61"/>
        <v> - </v>
      </c>
      <c r="M174" s="124" t="str">
        <f ca="1" t="shared" si="61"/>
        <v> - </v>
      </c>
      <c r="N174" s="125" t="str">
        <f ca="1" t="shared" si="61"/>
        <v> - </v>
      </c>
      <c r="O174" s="125" t="str">
        <f ca="1" t="shared" si="61"/>
        <v> - </v>
      </c>
    </row>
    <row r="175" s="28" customFormat="1" ht="13.5" customHeight="1" spans="1:15">
      <c r="A175" s="7"/>
      <c r="N175" s="43"/>
    </row>
    <row r="176" s="62" customFormat="1" spans="1:15">
      <c r="A176" s="12">
        <f>'Section-Category'!A141</f>
        <v>0</v>
      </c>
      <c r="B176" s="40" t="str">
        <f t="shared" ref="B176:M176" si="62">B$6</f>
        <v>Jan</v>
      </c>
      <c r="C176" s="40" t="str">
        <f t="shared" si="62"/>
        <v>Feb</v>
      </c>
      <c r="D176" s="40" t="str">
        <f t="shared" si="62"/>
        <v>Mar</v>
      </c>
      <c r="E176" s="40" t="str">
        <f t="shared" si="62"/>
        <v>Apr</v>
      </c>
      <c r="F176" s="40" t="str">
        <f t="shared" si="62"/>
        <v>May</v>
      </c>
      <c r="G176" s="40" t="str">
        <f t="shared" si="62"/>
        <v>Jun</v>
      </c>
      <c r="H176" s="40" t="str">
        <f t="shared" si="62"/>
        <v>Jul</v>
      </c>
      <c r="I176" s="40" t="str">
        <f t="shared" si="62"/>
        <v>Aug</v>
      </c>
      <c r="J176" s="40" t="str">
        <f t="shared" si="62"/>
        <v>Sep</v>
      </c>
      <c r="K176" s="40" t="str">
        <f t="shared" si="62"/>
        <v>Oct</v>
      </c>
      <c r="L176" s="40" t="str">
        <f t="shared" si="62"/>
        <v>Nov</v>
      </c>
      <c r="M176" s="40" t="str">
        <f t="shared" si="62"/>
        <v>Dec</v>
      </c>
      <c r="N176" s="40"/>
      <c r="O176" s="40"/>
    </row>
    <row r="177" s="28" customFormat="1" ht="15" customHeight="1" spans="1:15">
      <c r="A177" s="13" t="str">
        <f>'Section-Category'!A142</f>
        <v>&lt;Name-Of-Entry&gt;</v>
      </c>
      <c r="B177" s="120" t="str">
        <f ca="1" t="array" ref="B177">IF(OR(TRIM(INDIRECT("'"&amp;B$6&amp;"'!"&amp;B$4&amp;ROW()-44))="0",INDIRECT("'"&amp;B$6&amp;"'!"&amp;B$4&amp;ROW()-44)="",NOT(ISNUMBER(INDIRECT("'"&amp;B$6&amp;"'!"&amp;B$4&amp;ROW()-44)))),"-",INDIRECT("'"&amp;B$6&amp;"'!"&amp;B$4&amp;ROW()-44))</f>
        <v>-</v>
      </c>
      <c r="C177" s="120" t="str">
        <f ca="1" t="array" ref="C177">IF(OR(TRIM(INDIRECT("'"&amp;C$6&amp;"'!"&amp;C$4&amp;ROW()-44))="0",INDIRECT("'"&amp;C$6&amp;"'!"&amp;C$4&amp;ROW()-44)="",NOT(ISNUMBER(INDIRECT("'"&amp;C$6&amp;"'!"&amp;C$4&amp;ROW()-44)))),"-",INDIRECT("'"&amp;C$6&amp;"'!"&amp;C$4&amp;ROW()-44))</f>
        <v>-</v>
      </c>
      <c r="D177" s="120" t="str">
        <f ca="1" t="array" ref="D177">IF(OR(TRIM(INDIRECT("'"&amp;D$6&amp;"'!"&amp;D$4&amp;ROW()-44))="0",INDIRECT("'"&amp;D$6&amp;"'!"&amp;D$4&amp;ROW()-44)="",NOT(ISNUMBER(INDIRECT("'"&amp;D$6&amp;"'!"&amp;D$4&amp;ROW()-44)))),"-",INDIRECT("'"&amp;D$6&amp;"'!"&amp;D$4&amp;ROW()-44))</f>
        <v>-</v>
      </c>
      <c r="E177" s="120" t="str">
        <f ca="1" t="array" ref="E177">IF(OR(TRIM(INDIRECT("'"&amp;E$6&amp;"'!"&amp;E$4&amp;ROW()-44))="0",INDIRECT("'"&amp;E$6&amp;"'!"&amp;E$4&amp;ROW()-44)="",NOT(ISNUMBER(INDIRECT("'"&amp;E$6&amp;"'!"&amp;E$4&amp;ROW()-44)))),"-",INDIRECT("'"&amp;E$6&amp;"'!"&amp;E$4&amp;ROW()-44))</f>
        <v>-</v>
      </c>
      <c r="F177" s="120" t="str">
        <f ca="1" t="array" ref="F177">IF(OR(TRIM(INDIRECT("'"&amp;F$6&amp;"'!"&amp;F$4&amp;ROW()-44))="0",INDIRECT("'"&amp;F$6&amp;"'!"&amp;F$4&amp;ROW()-44)="",NOT(ISNUMBER(INDIRECT("'"&amp;F$6&amp;"'!"&amp;F$4&amp;ROW()-44)))),"-",INDIRECT("'"&amp;F$6&amp;"'!"&amp;F$4&amp;ROW()-44))</f>
        <v>-</v>
      </c>
      <c r="G177" s="120" t="str">
        <f ca="1" t="array" ref="G177">IF(OR(TRIM(INDIRECT("'"&amp;G$6&amp;"'!"&amp;G$4&amp;ROW()-44))="0",INDIRECT("'"&amp;G$6&amp;"'!"&amp;G$4&amp;ROW()-44)="",NOT(ISNUMBER(INDIRECT("'"&amp;G$6&amp;"'!"&amp;G$4&amp;ROW()-44)))),"-",INDIRECT("'"&amp;G$6&amp;"'!"&amp;G$4&amp;ROW()-44))</f>
        <v>-</v>
      </c>
      <c r="H177" s="120" t="str">
        <f ca="1" t="array" ref="H177">IF(OR(TRIM(INDIRECT("'"&amp;H$6&amp;"'!"&amp;H$4&amp;ROW()-44))="0",INDIRECT("'"&amp;H$6&amp;"'!"&amp;H$4&amp;ROW()-44)="",NOT(ISNUMBER(INDIRECT("'"&amp;H$6&amp;"'!"&amp;H$4&amp;ROW()-44)))),"-",INDIRECT("'"&amp;H$6&amp;"'!"&amp;H$4&amp;ROW()-44))</f>
        <v>-</v>
      </c>
      <c r="I177" s="120" t="str">
        <f ca="1" t="array" ref="I177">IF(OR(TRIM(INDIRECT("'"&amp;I$6&amp;"'!"&amp;I$4&amp;ROW()-44))="0",INDIRECT("'"&amp;I$6&amp;"'!"&amp;I$4&amp;ROW()-44)="",NOT(ISNUMBER(INDIRECT("'"&amp;I$6&amp;"'!"&amp;I$4&amp;ROW()-44)))),"-",INDIRECT("'"&amp;I$6&amp;"'!"&amp;I$4&amp;ROW()-44))</f>
        <v>-</v>
      </c>
      <c r="J177" s="120" t="str">
        <f ca="1" t="array" ref="J177">IF(OR(TRIM(INDIRECT("'"&amp;J$6&amp;"'!"&amp;J$4&amp;ROW()-44))="0",INDIRECT("'"&amp;J$6&amp;"'!"&amp;J$4&amp;ROW()-44)="",NOT(ISNUMBER(INDIRECT("'"&amp;J$6&amp;"'!"&amp;J$4&amp;ROW()-44)))),"-",INDIRECT("'"&amp;J$6&amp;"'!"&amp;J$4&amp;ROW()-44))</f>
        <v>-</v>
      </c>
      <c r="K177" s="120" t="str">
        <f ca="1" t="array" ref="K177">IF(OR(TRIM(INDIRECT("'"&amp;K$6&amp;"'!"&amp;K$4&amp;ROW()-44))="0",INDIRECT("'"&amp;K$6&amp;"'!"&amp;K$4&amp;ROW()-44)="",NOT(ISNUMBER(INDIRECT("'"&amp;K$6&amp;"'!"&amp;K$4&amp;ROW()-44)))),"-",INDIRECT("'"&amp;K$6&amp;"'!"&amp;K$4&amp;ROW()-44))</f>
        <v>-</v>
      </c>
      <c r="L177" s="120" t="str">
        <f ca="1" t="array" ref="L177">IF(OR(TRIM(INDIRECT("'"&amp;L$6&amp;"'!"&amp;L$4&amp;ROW()-44))="0",INDIRECT("'"&amp;L$6&amp;"'!"&amp;L$4&amp;ROW()-44)="",NOT(ISNUMBER(INDIRECT("'"&amp;L$6&amp;"'!"&amp;L$4&amp;ROW()-44)))),"-",INDIRECT("'"&amp;L$6&amp;"'!"&amp;L$4&amp;ROW()-44))</f>
        <v>-</v>
      </c>
      <c r="M177" s="120" t="str">
        <f ca="1" t="array" ref="M177">IF(OR(TRIM(INDIRECT("'"&amp;M$6&amp;"'!"&amp;M$4&amp;ROW()-44))="0",INDIRECT("'"&amp;M$6&amp;"'!"&amp;M$4&amp;ROW()-44)="",NOT(ISNUMBER(INDIRECT("'"&amp;M$6&amp;"'!"&amp;M$4&amp;ROW()-44)))),"-",INDIRECT("'"&amp;M$6&amp;"'!"&amp;M$4&amp;ROW()-44))</f>
        <v>-</v>
      </c>
      <c r="N177" s="31"/>
      <c r="O177" s="31"/>
    </row>
    <row r="178" s="28" customFormat="1" ht="15" customHeight="1" spans="1:15">
      <c r="A178" s="13" t="str">
        <f>'Section-Category'!A143</f>
        <v>&lt;Name-Of-Entry&gt;</v>
      </c>
      <c r="B178" s="120" t="str">
        <f ca="1" t="array" ref="B178">IF(OR(TRIM(INDIRECT("'"&amp;B$6&amp;"'!"&amp;B$4&amp;ROW()-44))="0",INDIRECT("'"&amp;B$6&amp;"'!"&amp;B$4&amp;ROW()-44)="",NOT(ISNUMBER(INDIRECT("'"&amp;B$6&amp;"'!"&amp;B$4&amp;ROW()-44)))),"-",INDIRECT("'"&amp;B$6&amp;"'!"&amp;B$4&amp;ROW()-44))</f>
        <v>-</v>
      </c>
      <c r="C178" s="120" t="str">
        <f ca="1" t="array" ref="C178">IF(OR(TRIM(INDIRECT("'"&amp;C$6&amp;"'!"&amp;C$4&amp;ROW()-44))="0",INDIRECT("'"&amp;C$6&amp;"'!"&amp;C$4&amp;ROW()-44)="",NOT(ISNUMBER(INDIRECT("'"&amp;C$6&amp;"'!"&amp;C$4&amp;ROW()-44)))),"-",INDIRECT("'"&amp;C$6&amp;"'!"&amp;C$4&amp;ROW()-44))</f>
        <v>-</v>
      </c>
      <c r="D178" s="120" t="str">
        <f ca="1" t="array" ref="D178">IF(OR(TRIM(INDIRECT("'"&amp;D$6&amp;"'!"&amp;D$4&amp;ROW()-44))="0",INDIRECT("'"&amp;D$6&amp;"'!"&amp;D$4&amp;ROW()-44)="",NOT(ISNUMBER(INDIRECT("'"&amp;D$6&amp;"'!"&amp;D$4&amp;ROW()-44)))),"-",INDIRECT("'"&amp;D$6&amp;"'!"&amp;D$4&amp;ROW()-44))</f>
        <v>-</v>
      </c>
      <c r="E178" s="120" t="str">
        <f ca="1" t="array" ref="E178">IF(OR(TRIM(INDIRECT("'"&amp;E$6&amp;"'!"&amp;E$4&amp;ROW()-44))="0",INDIRECT("'"&amp;E$6&amp;"'!"&amp;E$4&amp;ROW()-44)="",NOT(ISNUMBER(INDIRECT("'"&amp;E$6&amp;"'!"&amp;E$4&amp;ROW()-44)))),"-",INDIRECT("'"&amp;E$6&amp;"'!"&amp;E$4&amp;ROW()-44))</f>
        <v>-</v>
      </c>
      <c r="F178" s="120" t="str">
        <f ca="1" t="array" ref="F178">IF(OR(TRIM(INDIRECT("'"&amp;F$6&amp;"'!"&amp;F$4&amp;ROW()-44))="0",INDIRECT("'"&amp;F$6&amp;"'!"&amp;F$4&amp;ROW()-44)="",NOT(ISNUMBER(INDIRECT("'"&amp;F$6&amp;"'!"&amp;F$4&amp;ROW()-44)))),"-",INDIRECT("'"&amp;F$6&amp;"'!"&amp;F$4&amp;ROW()-44))</f>
        <v>-</v>
      </c>
      <c r="G178" s="120" t="str">
        <f ca="1" t="array" ref="G178">IF(OR(TRIM(INDIRECT("'"&amp;G$6&amp;"'!"&amp;G$4&amp;ROW()-44))="0",INDIRECT("'"&amp;G$6&amp;"'!"&amp;G$4&amp;ROW()-44)="",NOT(ISNUMBER(INDIRECT("'"&amp;G$6&amp;"'!"&amp;G$4&amp;ROW()-44)))),"-",INDIRECT("'"&amp;G$6&amp;"'!"&amp;G$4&amp;ROW()-44))</f>
        <v>-</v>
      </c>
      <c r="H178" s="120" t="str">
        <f ca="1" t="array" ref="H178">IF(OR(TRIM(INDIRECT("'"&amp;H$6&amp;"'!"&amp;H$4&amp;ROW()-44))="0",INDIRECT("'"&amp;H$6&amp;"'!"&amp;H$4&amp;ROW()-44)="",NOT(ISNUMBER(INDIRECT("'"&amp;H$6&amp;"'!"&amp;H$4&amp;ROW()-44)))),"-",INDIRECT("'"&amp;H$6&amp;"'!"&amp;H$4&amp;ROW()-44))</f>
        <v>-</v>
      </c>
      <c r="I178" s="120" t="str">
        <f ca="1" t="array" ref="I178">IF(OR(TRIM(INDIRECT("'"&amp;I$6&amp;"'!"&amp;I$4&amp;ROW()-44))="0",INDIRECT("'"&amp;I$6&amp;"'!"&amp;I$4&amp;ROW()-44)="",NOT(ISNUMBER(INDIRECT("'"&amp;I$6&amp;"'!"&amp;I$4&amp;ROW()-44)))),"-",INDIRECT("'"&amp;I$6&amp;"'!"&amp;I$4&amp;ROW()-44))</f>
        <v>-</v>
      </c>
      <c r="J178" s="120" t="str">
        <f ca="1" t="array" ref="J178">IF(OR(TRIM(INDIRECT("'"&amp;J$6&amp;"'!"&amp;J$4&amp;ROW()-44))="0",INDIRECT("'"&amp;J$6&amp;"'!"&amp;J$4&amp;ROW()-44)="",NOT(ISNUMBER(INDIRECT("'"&amp;J$6&amp;"'!"&amp;J$4&amp;ROW()-44)))),"-",INDIRECT("'"&amp;J$6&amp;"'!"&amp;J$4&amp;ROW()-44))</f>
        <v>-</v>
      </c>
      <c r="K178" s="120" t="str">
        <f ca="1" t="array" ref="K178">IF(OR(TRIM(INDIRECT("'"&amp;K$6&amp;"'!"&amp;K$4&amp;ROW()-44))="0",INDIRECT("'"&amp;K$6&amp;"'!"&amp;K$4&amp;ROW()-44)="",NOT(ISNUMBER(INDIRECT("'"&amp;K$6&amp;"'!"&amp;K$4&amp;ROW()-44)))),"-",INDIRECT("'"&amp;K$6&amp;"'!"&amp;K$4&amp;ROW()-44))</f>
        <v>-</v>
      </c>
      <c r="L178" s="120" t="str">
        <f ca="1" t="array" ref="L178">IF(OR(TRIM(INDIRECT("'"&amp;L$6&amp;"'!"&amp;L$4&amp;ROW()-44))="0",INDIRECT("'"&amp;L$6&amp;"'!"&amp;L$4&amp;ROW()-44)="",NOT(ISNUMBER(INDIRECT("'"&amp;L$6&amp;"'!"&amp;L$4&amp;ROW()-44)))),"-",INDIRECT("'"&amp;L$6&amp;"'!"&amp;L$4&amp;ROW()-44))</f>
        <v>-</v>
      </c>
      <c r="M178" s="120" t="str">
        <f ca="1" t="array" ref="M178">IF(OR(TRIM(INDIRECT("'"&amp;M$6&amp;"'!"&amp;M$4&amp;ROW()-44))="0",INDIRECT("'"&amp;M$6&amp;"'!"&amp;M$4&amp;ROW()-44)="",NOT(ISNUMBER(INDIRECT("'"&amp;M$6&amp;"'!"&amp;M$4&amp;ROW()-44)))),"-",INDIRECT("'"&amp;M$6&amp;"'!"&amp;M$4&amp;ROW()-44))</f>
        <v>-</v>
      </c>
      <c r="N178" s="31"/>
      <c r="O178" s="31"/>
    </row>
    <row r="179" s="28" customFormat="1" ht="15" customHeight="1" spans="1:15">
      <c r="A179" s="13" t="str">
        <f>'Section-Category'!A144</f>
        <v>&lt;Name-Of-Entry&gt;</v>
      </c>
      <c r="B179" s="120" t="str">
        <f ca="1" t="array" ref="B179">IF(OR(TRIM(INDIRECT("'"&amp;B$6&amp;"'!"&amp;B$4&amp;ROW()-44))="0",INDIRECT("'"&amp;B$6&amp;"'!"&amp;B$4&amp;ROW()-44)="",NOT(ISNUMBER(INDIRECT("'"&amp;B$6&amp;"'!"&amp;B$4&amp;ROW()-44)))),"-",INDIRECT("'"&amp;B$6&amp;"'!"&amp;B$4&amp;ROW()-44))</f>
        <v>-</v>
      </c>
      <c r="C179" s="120" t="str">
        <f ca="1" t="array" ref="C179">IF(OR(TRIM(INDIRECT("'"&amp;C$6&amp;"'!"&amp;C$4&amp;ROW()-44))="0",INDIRECT("'"&amp;C$6&amp;"'!"&amp;C$4&amp;ROW()-44)="",NOT(ISNUMBER(INDIRECT("'"&amp;C$6&amp;"'!"&amp;C$4&amp;ROW()-44)))),"-",INDIRECT("'"&amp;C$6&amp;"'!"&amp;C$4&amp;ROW()-44))</f>
        <v>-</v>
      </c>
      <c r="D179" s="120" t="str">
        <f ca="1" t="array" ref="D179">IF(OR(TRIM(INDIRECT("'"&amp;D$6&amp;"'!"&amp;D$4&amp;ROW()-44))="0",INDIRECT("'"&amp;D$6&amp;"'!"&amp;D$4&amp;ROW()-44)="",NOT(ISNUMBER(INDIRECT("'"&amp;D$6&amp;"'!"&amp;D$4&amp;ROW()-44)))),"-",INDIRECT("'"&amp;D$6&amp;"'!"&amp;D$4&amp;ROW()-44))</f>
        <v>-</v>
      </c>
      <c r="E179" s="120" t="str">
        <f ca="1" t="array" ref="E179">IF(OR(TRIM(INDIRECT("'"&amp;E$6&amp;"'!"&amp;E$4&amp;ROW()-44))="0",INDIRECT("'"&amp;E$6&amp;"'!"&amp;E$4&amp;ROW()-44)="",NOT(ISNUMBER(INDIRECT("'"&amp;E$6&amp;"'!"&amp;E$4&amp;ROW()-44)))),"-",INDIRECT("'"&amp;E$6&amp;"'!"&amp;E$4&amp;ROW()-44))</f>
        <v>-</v>
      </c>
      <c r="F179" s="120" t="str">
        <f ca="1" t="array" ref="F179">IF(OR(TRIM(INDIRECT("'"&amp;F$6&amp;"'!"&amp;F$4&amp;ROW()-44))="0",INDIRECT("'"&amp;F$6&amp;"'!"&amp;F$4&amp;ROW()-44)="",NOT(ISNUMBER(INDIRECT("'"&amp;F$6&amp;"'!"&amp;F$4&amp;ROW()-44)))),"-",INDIRECT("'"&amp;F$6&amp;"'!"&amp;F$4&amp;ROW()-44))</f>
        <v>-</v>
      </c>
      <c r="G179" s="120" t="str">
        <f ca="1" t="array" ref="G179">IF(OR(TRIM(INDIRECT("'"&amp;G$6&amp;"'!"&amp;G$4&amp;ROW()-44))="0",INDIRECT("'"&amp;G$6&amp;"'!"&amp;G$4&amp;ROW()-44)="",NOT(ISNUMBER(INDIRECT("'"&amp;G$6&amp;"'!"&amp;G$4&amp;ROW()-44)))),"-",INDIRECT("'"&amp;G$6&amp;"'!"&amp;G$4&amp;ROW()-44))</f>
        <v>-</v>
      </c>
      <c r="H179" s="120" t="str">
        <f ca="1" t="array" ref="H179">IF(OR(TRIM(INDIRECT("'"&amp;H$6&amp;"'!"&amp;H$4&amp;ROW()-44))="0",INDIRECT("'"&amp;H$6&amp;"'!"&amp;H$4&amp;ROW()-44)="",NOT(ISNUMBER(INDIRECT("'"&amp;H$6&amp;"'!"&amp;H$4&amp;ROW()-44)))),"-",INDIRECT("'"&amp;H$6&amp;"'!"&amp;H$4&amp;ROW()-44))</f>
        <v>-</v>
      </c>
      <c r="I179" s="120" t="str">
        <f ca="1" t="array" ref="I179">IF(OR(TRIM(INDIRECT("'"&amp;I$6&amp;"'!"&amp;I$4&amp;ROW()-44))="0",INDIRECT("'"&amp;I$6&amp;"'!"&amp;I$4&amp;ROW()-44)="",NOT(ISNUMBER(INDIRECT("'"&amp;I$6&amp;"'!"&amp;I$4&amp;ROW()-44)))),"-",INDIRECT("'"&amp;I$6&amp;"'!"&amp;I$4&amp;ROW()-44))</f>
        <v>-</v>
      </c>
      <c r="J179" s="120" t="str">
        <f ca="1" t="array" ref="J179">IF(OR(TRIM(INDIRECT("'"&amp;J$6&amp;"'!"&amp;J$4&amp;ROW()-44))="0",INDIRECT("'"&amp;J$6&amp;"'!"&amp;J$4&amp;ROW()-44)="",NOT(ISNUMBER(INDIRECT("'"&amp;J$6&amp;"'!"&amp;J$4&amp;ROW()-44)))),"-",INDIRECT("'"&amp;J$6&amp;"'!"&amp;J$4&amp;ROW()-44))</f>
        <v>-</v>
      </c>
      <c r="K179" s="120" t="str">
        <f ca="1" t="array" ref="K179">IF(OR(TRIM(INDIRECT("'"&amp;K$6&amp;"'!"&amp;K$4&amp;ROW()-44))="0",INDIRECT("'"&amp;K$6&amp;"'!"&amp;K$4&amp;ROW()-44)="",NOT(ISNUMBER(INDIRECT("'"&amp;K$6&amp;"'!"&amp;K$4&amp;ROW()-44)))),"-",INDIRECT("'"&amp;K$6&amp;"'!"&amp;K$4&amp;ROW()-44))</f>
        <v>-</v>
      </c>
      <c r="L179" s="120" t="str">
        <f ca="1" t="array" ref="L179">IF(OR(TRIM(INDIRECT("'"&amp;L$6&amp;"'!"&amp;L$4&amp;ROW()-44))="0",INDIRECT("'"&amp;L$6&amp;"'!"&amp;L$4&amp;ROW()-44)="",NOT(ISNUMBER(INDIRECT("'"&amp;L$6&amp;"'!"&amp;L$4&amp;ROW()-44)))),"-",INDIRECT("'"&amp;L$6&amp;"'!"&amp;L$4&amp;ROW()-44))</f>
        <v>-</v>
      </c>
      <c r="M179" s="120" t="str">
        <f ca="1" t="array" ref="M179">IF(OR(TRIM(INDIRECT("'"&amp;M$6&amp;"'!"&amp;M$4&amp;ROW()-44))="0",INDIRECT("'"&amp;M$6&amp;"'!"&amp;M$4&amp;ROW()-44)="",NOT(ISNUMBER(INDIRECT("'"&amp;M$6&amp;"'!"&amp;M$4&amp;ROW()-44)))),"-",INDIRECT("'"&amp;M$6&amp;"'!"&amp;M$4&amp;ROW()-44))</f>
        <v>-</v>
      </c>
      <c r="N179" s="31"/>
      <c r="O179" s="31"/>
    </row>
    <row r="180" s="28" customFormat="1" ht="15.75" customHeight="1" spans="1:15">
      <c r="A180" s="13" t="str">
        <f>'Section-Category'!A145</f>
        <v>&lt;Name-Of-Entry&gt;</v>
      </c>
      <c r="B180" s="120" t="str">
        <f ca="1" t="array" ref="B180">IF(OR(TRIM(INDIRECT("'"&amp;B$6&amp;"'!"&amp;B$4&amp;ROW()-44))="0",INDIRECT("'"&amp;B$6&amp;"'!"&amp;B$4&amp;ROW()-44)="",NOT(ISNUMBER(INDIRECT("'"&amp;B$6&amp;"'!"&amp;B$4&amp;ROW()-44)))),"-",INDIRECT("'"&amp;B$6&amp;"'!"&amp;B$4&amp;ROW()-44))</f>
        <v>-</v>
      </c>
      <c r="C180" s="120" t="str">
        <f ca="1" t="array" ref="C180">IF(OR(TRIM(INDIRECT("'"&amp;C$6&amp;"'!"&amp;C$4&amp;ROW()-44))="0",INDIRECT("'"&amp;C$6&amp;"'!"&amp;C$4&amp;ROW()-44)="",NOT(ISNUMBER(INDIRECT("'"&amp;C$6&amp;"'!"&amp;C$4&amp;ROW()-44)))),"-",INDIRECT("'"&amp;C$6&amp;"'!"&amp;C$4&amp;ROW()-44))</f>
        <v>-</v>
      </c>
      <c r="D180" s="120" t="str">
        <f ca="1" t="array" ref="D180">IF(OR(TRIM(INDIRECT("'"&amp;D$6&amp;"'!"&amp;D$4&amp;ROW()-44))="0",INDIRECT("'"&amp;D$6&amp;"'!"&amp;D$4&amp;ROW()-44)="",NOT(ISNUMBER(INDIRECT("'"&amp;D$6&amp;"'!"&amp;D$4&amp;ROW()-44)))),"-",INDIRECT("'"&amp;D$6&amp;"'!"&amp;D$4&amp;ROW()-44))</f>
        <v>-</v>
      </c>
      <c r="E180" s="120" t="str">
        <f ca="1" t="array" ref="E180">IF(OR(TRIM(INDIRECT("'"&amp;E$6&amp;"'!"&amp;E$4&amp;ROW()-44))="0",INDIRECT("'"&amp;E$6&amp;"'!"&amp;E$4&amp;ROW()-44)="",NOT(ISNUMBER(INDIRECT("'"&amp;E$6&amp;"'!"&amp;E$4&amp;ROW()-44)))),"-",INDIRECT("'"&amp;E$6&amp;"'!"&amp;E$4&amp;ROW()-44))</f>
        <v>-</v>
      </c>
      <c r="F180" s="120" t="str">
        <f ca="1" t="array" ref="F180">IF(OR(TRIM(INDIRECT("'"&amp;F$6&amp;"'!"&amp;F$4&amp;ROW()-44))="0",INDIRECT("'"&amp;F$6&amp;"'!"&amp;F$4&amp;ROW()-44)="",NOT(ISNUMBER(INDIRECT("'"&amp;F$6&amp;"'!"&amp;F$4&amp;ROW()-44)))),"-",INDIRECT("'"&amp;F$6&amp;"'!"&amp;F$4&amp;ROW()-44))</f>
        <v>-</v>
      </c>
      <c r="G180" s="120" t="str">
        <f ca="1" t="array" ref="G180">IF(OR(TRIM(INDIRECT("'"&amp;G$6&amp;"'!"&amp;G$4&amp;ROW()-44))="0",INDIRECT("'"&amp;G$6&amp;"'!"&amp;G$4&amp;ROW()-44)="",NOT(ISNUMBER(INDIRECT("'"&amp;G$6&amp;"'!"&amp;G$4&amp;ROW()-44)))),"-",INDIRECT("'"&amp;G$6&amp;"'!"&amp;G$4&amp;ROW()-44))</f>
        <v>-</v>
      </c>
      <c r="H180" s="120" t="str">
        <f ca="1" t="array" ref="H180">IF(OR(TRIM(INDIRECT("'"&amp;H$6&amp;"'!"&amp;H$4&amp;ROW()-44))="0",INDIRECT("'"&amp;H$6&amp;"'!"&amp;H$4&amp;ROW()-44)="",NOT(ISNUMBER(INDIRECT("'"&amp;H$6&amp;"'!"&amp;H$4&amp;ROW()-44)))),"-",INDIRECT("'"&amp;H$6&amp;"'!"&amp;H$4&amp;ROW()-44))</f>
        <v>-</v>
      </c>
      <c r="I180" s="120" t="str">
        <f ca="1" t="array" ref="I180">IF(OR(TRIM(INDIRECT("'"&amp;I$6&amp;"'!"&amp;I$4&amp;ROW()-44))="0",INDIRECT("'"&amp;I$6&amp;"'!"&amp;I$4&amp;ROW()-44)="",NOT(ISNUMBER(INDIRECT("'"&amp;I$6&amp;"'!"&amp;I$4&amp;ROW()-44)))),"-",INDIRECT("'"&amp;I$6&amp;"'!"&amp;I$4&amp;ROW()-44))</f>
        <v>-</v>
      </c>
      <c r="J180" s="120" t="str">
        <f ca="1" t="array" ref="J180">IF(OR(TRIM(INDIRECT("'"&amp;J$6&amp;"'!"&amp;J$4&amp;ROW()-44))="0",INDIRECT("'"&amp;J$6&amp;"'!"&amp;J$4&amp;ROW()-44)="",NOT(ISNUMBER(INDIRECT("'"&amp;J$6&amp;"'!"&amp;J$4&amp;ROW()-44)))),"-",INDIRECT("'"&amp;J$6&amp;"'!"&amp;J$4&amp;ROW()-44))</f>
        <v>-</v>
      </c>
      <c r="K180" s="120" t="str">
        <f ca="1" t="array" ref="K180">IF(OR(TRIM(INDIRECT("'"&amp;K$6&amp;"'!"&amp;K$4&amp;ROW()-44))="0",INDIRECT("'"&amp;K$6&amp;"'!"&amp;K$4&amp;ROW()-44)="",NOT(ISNUMBER(INDIRECT("'"&amp;K$6&amp;"'!"&amp;K$4&amp;ROW()-44)))),"-",INDIRECT("'"&amp;K$6&amp;"'!"&amp;K$4&amp;ROW()-44))</f>
        <v>-</v>
      </c>
      <c r="L180" s="120" t="str">
        <f ca="1" t="array" ref="L180">IF(OR(TRIM(INDIRECT("'"&amp;L$6&amp;"'!"&amp;L$4&amp;ROW()-44))="0",INDIRECT("'"&amp;L$6&amp;"'!"&amp;L$4&amp;ROW()-44)="",NOT(ISNUMBER(INDIRECT("'"&amp;L$6&amp;"'!"&amp;L$4&amp;ROW()-44)))),"-",INDIRECT("'"&amp;L$6&amp;"'!"&amp;L$4&amp;ROW()-44))</f>
        <v>-</v>
      </c>
      <c r="M180" s="120" t="str">
        <f ca="1" t="array" ref="M180">IF(OR(TRIM(INDIRECT("'"&amp;M$6&amp;"'!"&amp;M$4&amp;ROW()-44))="0",INDIRECT("'"&amp;M$6&amp;"'!"&amp;M$4&amp;ROW()-44)="",NOT(ISNUMBER(INDIRECT("'"&amp;M$6&amp;"'!"&amp;M$4&amp;ROW()-44)))),"-",INDIRECT("'"&amp;M$6&amp;"'!"&amp;M$4&amp;ROW()-44))</f>
        <v>-</v>
      </c>
      <c r="N180" s="31"/>
      <c r="O180" s="31"/>
    </row>
    <row r="181" s="66" customFormat="1" ht="15" customHeight="1" spans="1:15">
      <c r="A181" s="10" t="str">
        <f>'Section-Category'!A146</f>
        <v>Total </v>
      </c>
      <c r="B181" s="123"/>
      <c r="C181" s="123"/>
      <c r="D181" s="123"/>
      <c r="E181" s="123"/>
      <c r="F181" s="123"/>
      <c r="G181" s="123"/>
      <c r="H181" s="123"/>
      <c r="I181" s="123"/>
      <c r="J181" s="123"/>
      <c r="K181" s="123"/>
      <c r="L181" s="123"/>
      <c r="M181" s="123"/>
      <c r="N181" s="39"/>
      <c r="O181" s="39"/>
    </row>
    <row r="182" s="66" customFormat="1" ht="13.5" customHeight="1" spans="1:15">
      <c r="A182" s="11" t="str">
        <f>'Section-Category'!A147</f>
        <v>% of Total Expenses</v>
      </c>
      <c r="B182" s="124"/>
      <c r="C182" s="124"/>
      <c r="D182" s="124"/>
      <c r="E182" s="124"/>
      <c r="F182" s="124"/>
      <c r="G182" s="124"/>
      <c r="H182" s="124"/>
      <c r="I182" s="124"/>
      <c r="J182" s="124"/>
      <c r="K182" s="124"/>
      <c r="L182" s="124"/>
      <c r="M182" s="124"/>
      <c r="N182" s="125"/>
      <c r="O182" s="125"/>
    </row>
    <row r="183" s="28" customFormat="1" ht="13.5" customHeight="1" spans="1:15">
      <c r="A183" s="7"/>
    </row>
    <row r="184" s="62" customFormat="1" spans="1:15">
      <c r="A184" s="12" t="str">
        <f>'Section-Category'!A149</f>
        <v>SUBSCRIPTIONS</v>
      </c>
      <c r="B184" s="40" t="str">
        <f t="shared" ref="B184:M184" si="63">B$6</f>
        <v>Jan</v>
      </c>
      <c r="C184" s="40" t="str">
        <f t="shared" si="63"/>
        <v>Feb</v>
      </c>
      <c r="D184" s="40" t="str">
        <f t="shared" si="63"/>
        <v>Mar</v>
      </c>
      <c r="E184" s="40" t="str">
        <f t="shared" si="63"/>
        <v>Apr</v>
      </c>
      <c r="F184" s="40" t="str">
        <f t="shared" si="63"/>
        <v>May</v>
      </c>
      <c r="G184" s="40" t="str">
        <f t="shared" si="63"/>
        <v>Jun</v>
      </c>
      <c r="H184" s="40" t="str">
        <f t="shared" si="63"/>
        <v>Jul</v>
      </c>
      <c r="I184" s="40" t="str">
        <f t="shared" si="63"/>
        <v>Aug</v>
      </c>
      <c r="J184" s="40" t="str">
        <f t="shared" si="63"/>
        <v>Sep</v>
      </c>
      <c r="K184" s="40" t="str">
        <f t="shared" si="63"/>
        <v>Oct</v>
      </c>
      <c r="L184" s="40" t="str">
        <f t="shared" si="63"/>
        <v>Nov</v>
      </c>
      <c r="M184" s="40" t="str">
        <f t="shared" si="63"/>
        <v>Dec</v>
      </c>
      <c r="N184" s="40" t="s">
        <v>34</v>
      </c>
      <c r="O184" s="40" t="s">
        <v>35</v>
      </c>
    </row>
    <row r="185" s="28" customFormat="1" ht="15" customHeight="1" spans="1:15">
      <c r="A185" s="13" t="str">
        <f>'Section-Category'!A150</f>
        <v>Netflix</v>
      </c>
      <c r="B185" s="120" t="str">
        <f ca="1" t="array" ref="B185">IF(OR(TRIM(INDIRECT("'"&amp;B$6&amp;"'!"&amp;B$4&amp;ROW()-45))="0",INDIRECT("'"&amp;B$6&amp;"'!"&amp;B$4&amp;ROW()-45)="",NOT(ISNUMBER(INDIRECT("'"&amp;B$6&amp;"'!"&amp;B$4&amp;ROW()-45)))),"-",INDIRECT("'"&amp;B$6&amp;"'!"&amp;B$4&amp;ROW()-45))</f>
        <v>-</v>
      </c>
      <c r="C185" s="120" t="str">
        <f ca="1" t="array" ref="C185">IF(OR(TRIM(INDIRECT("'"&amp;C$6&amp;"'!"&amp;C$4&amp;ROW()-45))="0",INDIRECT("'"&amp;C$6&amp;"'!"&amp;C$4&amp;ROW()-45)="",NOT(ISNUMBER(INDIRECT("'"&amp;C$6&amp;"'!"&amp;C$4&amp;ROW()-45)))),"-",INDIRECT("'"&amp;C$6&amp;"'!"&amp;C$4&amp;ROW()-45))</f>
        <v>-</v>
      </c>
      <c r="D185" s="120" t="str">
        <f ca="1" t="array" ref="D185">IF(OR(TRIM(INDIRECT("'"&amp;D$6&amp;"'!"&amp;D$4&amp;ROW()-45))="0",INDIRECT("'"&amp;D$6&amp;"'!"&amp;D$4&amp;ROW()-45)="",NOT(ISNUMBER(INDIRECT("'"&amp;D$6&amp;"'!"&amp;D$4&amp;ROW()-45)))),"-",INDIRECT("'"&amp;D$6&amp;"'!"&amp;D$4&amp;ROW()-45))</f>
        <v>-</v>
      </c>
      <c r="E185" s="120" t="str">
        <f ca="1" t="array" ref="E185">IF(OR(TRIM(INDIRECT("'"&amp;E$6&amp;"'!"&amp;E$4&amp;ROW()-45))="0",INDIRECT("'"&amp;E$6&amp;"'!"&amp;E$4&amp;ROW()-45)="",NOT(ISNUMBER(INDIRECT("'"&amp;E$6&amp;"'!"&amp;E$4&amp;ROW()-45)))),"-",INDIRECT("'"&amp;E$6&amp;"'!"&amp;E$4&amp;ROW()-45))</f>
        <v>-</v>
      </c>
      <c r="F185" s="120" t="str">
        <f ca="1" t="array" ref="F185">IF(OR(TRIM(INDIRECT("'"&amp;F$6&amp;"'!"&amp;F$4&amp;ROW()-45))="0",INDIRECT("'"&amp;F$6&amp;"'!"&amp;F$4&amp;ROW()-45)="",NOT(ISNUMBER(INDIRECT("'"&amp;F$6&amp;"'!"&amp;F$4&amp;ROW()-45)))),"-",INDIRECT("'"&amp;F$6&amp;"'!"&amp;F$4&amp;ROW()-45))</f>
        <v>-</v>
      </c>
      <c r="G185" s="120" t="str">
        <f ca="1" t="array" ref="G185">IF(OR(TRIM(INDIRECT("'"&amp;G$6&amp;"'!"&amp;G$4&amp;ROW()-45))="0",INDIRECT("'"&amp;G$6&amp;"'!"&amp;G$4&amp;ROW()-45)="",NOT(ISNUMBER(INDIRECT("'"&amp;G$6&amp;"'!"&amp;G$4&amp;ROW()-45)))),"-",INDIRECT("'"&amp;G$6&amp;"'!"&amp;G$4&amp;ROW()-45))</f>
        <v>-</v>
      </c>
      <c r="H185" s="120" t="str">
        <f ca="1" t="array" ref="H185">IF(OR(TRIM(INDIRECT("'"&amp;H$6&amp;"'!"&amp;H$4&amp;ROW()-45))="0",INDIRECT("'"&amp;H$6&amp;"'!"&amp;H$4&amp;ROW()-45)="",NOT(ISNUMBER(INDIRECT("'"&amp;H$6&amp;"'!"&amp;H$4&amp;ROW()-45)))),"-",INDIRECT("'"&amp;H$6&amp;"'!"&amp;H$4&amp;ROW()-45))</f>
        <v>-</v>
      </c>
      <c r="I185" s="120" t="str">
        <f ca="1" t="array" ref="I185">IF(OR(TRIM(INDIRECT("'"&amp;I$6&amp;"'!"&amp;I$4&amp;ROW()-45))="0",INDIRECT("'"&amp;I$6&amp;"'!"&amp;I$4&amp;ROW()-45)="",NOT(ISNUMBER(INDIRECT("'"&amp;I$6&amp;"'!"&amp;I$4&amp;ROW()-45)))),"-",INDIRECT("'"&amp;I$6&amp;"'!"&amp;I$4&amp;ROW()-45))</f>
        <v>-</v>
      </c>
      <c r="J185" s="120" t="str">
        <f ca="1" t="array" ref="J185">IF(OR(TRIM(INDIRECT("'"&amp;J$6&amp;"'!"&amp;J$4&amp;ROW()-45))="0",INDIRECT("'"&amp;J$6&amp;"'!"&amp;J$4&amp;ROW()-45)="",NOT(ISNUMBER(INDIRECT("'"&amp;J$6&amp;"'!"&amp;J$4&amp;ROW()-45)))),"-",INDIRECT("'"&amp;J$6&amp;"'!"&amp;J$4&amp;ROW()-45))</f>
        <v>-</v>
      </c>
      <c r="K185" s="120" t="str">
        <f ca="1" t="array" ref="K185">IF(OR(TRIM(INDIRECT("'"&amp;K$6&amp;"'!"&amp;K$4&amp;ROW()-45))="0",INDIRECT("'"&amp;K$6&amp;"'!"&amp;K$4&amp;ROW()-45)="",NOT(ISNUMBER(INDIRECT("'"&amp;K$6&amp;"'!"&amp;K$4&amp;ROW()-45)))),"-",INDIRECT("'"&amp;K$6&amp;"'!"&amp;K$4&amp;ROW()-45))</f>
        <v>-</v>
      </c>
      <c r="L185" s="120" t="str">
        <f ca="1" t="array" ref="L185">IF(OR(TRIM(INDIRECT("'"&amp;L$6&amp;"'!"&amp;L$4&amp;ROW()-45))="0",INDIRECT("'"&amp;L$6&amp;"'!"&amp;L$4&amp;ROW()-45)="",NOT(ISNUMBER(INDIRECT("'"&amp;L$6&amp;"'!"&amp;L$4&amp;ROW()-45)))),"-",INDIRECT("'"&amp;L$6&amp;"'!"&amp;L$4&amp;ROW()-45))</f>
        <v>-</v>
      </c>
      <c r="M185" s="120" t="str">
        <f ca="1" t="array" ref="M185">IF(OR(TRIM(INDIRECT("'"&amp;M$6&amp;"'!"&amp;M$4&amp;ROW()-45))="0",INDIRECT("'"&amp;M$6&amp;"'!"&amp;M$4&amp;ROW()-45)="",NOT(ISNUMBER(INDIRECT("'"&amp;M$6&amp;"'!"&amp;M$4&amp;ROW()-45)))),"-",INDIRECT("'"&amp;M$6&amp;"'!"&amp;M$4&amp;ROW()-45))</f>
        <v>-</v>
      </c>
      <c r="N185" s="31">
        <f ca="1" t="shared" ref="N185:N187" si="64">SUM(B185:M185)</f>
        <v>0</v>
      </c>
      <c r="O185" s="31">
        <f ca="1" t="shared" ref="O185:O187" si="65">N185/COLUMNS(B185:M185)</f>
        <v>0</v>
      </c>
    </row>
    <row r="186" s="28" customFormat="1" ht="15" customHeight="1" spans="1:15">
      <c r="A186" s="13" t="str">
        <f>'Section-Category'!A151</f>
        <v>Medium</v>
      </c>
      <c r="B186" s="120" t="str">
        <f ca="1" t="array" ref="B186">IF(OR(TRIM(INDIRECT("'"&amp;B$6&amp;"'!"&amp;B$4&amp;ROW()-45))="0",INDIRECT("'"&amp;B$6&amp;"'!"&amp;B$4&amp;ROW()-45)="",NOT(ISNUMBER(INDIRECT("'"&amp;B$6&amp;"'!"&amp;B$4&amp;ROW()-45)))),"-",INDIRECT("'"&amp;B$6&amp;"'!"&amp;B$4&amp;ROW()-45))</f>
        <v>-</v>
      </c>
      <c r="C186" s="120" t="str">
        <f ca="1" t="array" ref="C186">IF(OR(TRIM(INDIRECT("'"&amp;C$6&amp;"'!"&amp;C$4&amp;ROW()-45))="0",INDIRECT("'"&amp;C$6&amp;"'!"&amp;C$4&amp;ROW()-45)="",NOT(ISNUMBER(INDIRECT("'"&amp;C$6&amp;"'!"&amp;C$4&amp;ROW()-45)))),"-",INDIRECT("'"&amp;C$6&amp;"'!"&amp;C$4&amp;ROW()-45))</f>
        <v>-</v>
      </c>
      <c r="D186" s="120" t="str">
        <f ca="1" t="array" ref="D186">IF(OR(TRIM(INDIRECT("'"&amp;D$6&amp;"'!"&amp;D$4&amp;ROW()-45))="0",INDIRECT("'"&amp;D$6&amp;"'!"&amp;D$4&amp;ROW()-45)="",NOT(ISNUMBER(INDIRECT("'"&amp;D$6&amp;"'!"&amp;D$4&amp;ROW()-45)))),"-",INDIRECT("'"&amp;D$6&amp;"'!"&amp;D$4&amp;ROW()-45))</f>
        <v>-</v>
      </c>
      <c r="E186" s="120" t="str">
        <f ca="1" t="array" ref="E186">IF(OR(TRIM(INDIRECT("'"&amp;E$6&amp;"'!"&amp;E$4&amp;ROW()-45))="0",INDIRECT("'"&amp;E$6&amp;"'!"&amp;E$4&amp;ROW()-45)="",NOT(ISNUMBER(INDIRECT("'"&amp;E$6&amp;"'!"&amp;E$4&amp;ROW()-45)))),"-",INDIRECT("'"&amp;E$6&amp;"'!"&amp;E$4&amp;ROW()-45))</f>
        <v>-</v>
      </c>
      <c r="F186" s="120" t="str">
        <f ca="1" t="array" ref="F186">IF(OR(TRIM(INDIRECT("'"&amp;F$6&amp;"'!"&amp;F$4&amp;ROW()-45))="0",INDIRECT("'"&amp;F$6&amp;"'!"&amp;F$4&amp;ROW()-45)="",NOT(ISNUMBER(INDIRECT("'"&amp;F$6&amp;"'!"&amp;F$4&amp;ROW()-45)))),"-",INDIRECT("'"&amp;F$6&amp;"'!"&amp;F$4&amp;ROW()-45))</f>
        <v>-</v>
      </c>
      <c r="G186" s="120" t="str">
        <f ca="1" t="array" ref="G186">IF(OR(TRIM(INDIRECT("'"&amp;G$6&amp;"'!"&amp;G$4&amp;ROW()-45))="0",INDIRECT("'"&amp;G$6&amp;"'!"&amp;G$4&amp;ROW()-45)="",NOT(ISNUMBER(INDIRECT("'"&amp;G$6&amp;"'!"&amp;G$4&amp;ROW()-45)))),"-",INDIRECT("'"&amp;G$6&amp;"'!"&amp;G$4&amp;ROW()-45))</f>
        <v>-</v>
      </c>
      <c r="H186" s="120" t="str">
        <f ca="1" t="array" ref="H186">IF(OR(TRIM(INDIRECT("'"&amp;H$6&amp;"'!"&amp;H$4&amp;ROW()-45))="0",INDIRECT("'"&amp;H$6&amp;"'!"&amp;H$4&amp;ROW()-45)="",NOT(ISNUMBER(INDIRECT("'"&amp;H$6&amp;"'!"&amp;H$4&amp;ROW()-45)))),"-",INDIRECT("'"&amp;H$6&amp;"'!"&amp;H$4&amp;ROW()-45))</f>
        <v>-</v>
      </c>
      <c r="I186" s="120" t="str">
        <f ca="1" t="array" ref="I186">IF(OR(TRIM(INDIRECT("'"&amp;I$6&amp;"'!"&amp;I$4&amp;ROW()-45))="0",INDIRECT("'"&amp;I$6&amp;"'!"&amp;I$4&amp;ROW()-45)="",NOT(ISNUMBER(INDIRECT("'"&amp;I$6&amp;"'!"&amp;I$4&amp;ROW()-45)))),"-",INDIRECT("'"&amp;I$6&amp;"'!"&amp;I$4&amp;ROW()-45))</f>
        <v>-</v>
      </c>
      <c r="J186" s="120" t="str">
        <f ca="1" t="array" ref="J186">IF(OR(TRIM(INDIRECT("'"&amp;J$6&amp;"'!"&amp;J$4&amp;ROW()-45))="0",INDIRECT("'"&amp;J$6&amp;"'!"&amp;J$4&amp;ROW()-45)="",NOT(ISNUMBER(INDIRECT("'"&amp;J$6&amp;"'!"&amp;J$4&amp;ROW()-45)))),"-",INDIRECT("'"&amp;J$6&amp;"'!"&amp;J$4&amp;ROW()-45))</f>
        <v>-</v>
      </c>
      <c r="K186" s="120" t="str">
        <f ca="1" t="array" ref="K186">IF(OR(TRIM(INDIRECT("'"&amp;K$6&amp;"'!"&amp;K$4&amp;ROW()-45))="0",INDIRECT("'"&amp;K$6&amp;"'!"&amp;K$4&amp;ROW()-45)="",NOT(ISNUMBER(INDIRECT("'"&amp;K$6&amp;"'!"&amp;K$4&amp;ROW()-45)))),"-",INDIRECT("'"&amp;K$6&amp;"'!"&amp;K$4&amp;ROW()-45))</f>
        <v>-</v>
      </c>
      <c r="L186" s="120" t="str">
        <f ca="1" t="array" ref="L186">IF(OR(TRIM(INDIRECT("'"&amp;L$6&amp;"'!"&amp;L$4&amp;ROW()-45))="0",INDIRECT("'"&amp;L$6&amp;"'!"&amp;L$4&amp;ROW()-45)="",NOT(ISNUMBER(INDIRECT("'"&amp;L$6&amp;"'!"&amp;L$4&amp;ROW()-45)))),"-",INDIRECT("'"&amp;L$6&amp;"'!"&amp;L$4&amp;ROW()-45))</f>
        <v>-</v>
      </c>
      <c r="M186" s="120" t="str">
        <f ca="1" t="array" ref="M186">IF(OR(TRIM(INDIRECT("'"&amp;M$6&amp;"'!"&amp;M$4&amp;ROW()-45))="0",INDIRECT("'"&amp;M$6&amp;"'!"&amp;M$4&amp;ROW()-45)="",NOT(ISNUMBER(INDIRECT("'"&amp;M$6&amp;"'!"&amp;M$4&amp;ROW()-45)))),"-",INDIRECT("'"&amp;M$6&amp;"'!"&amp;M$4&amp;ROW()-45))</f>
        <v>-</v>
      </c>
      <c r="N186" s="31">
        <f ca="1" t="shared" si="64"/>
        <v>0</v>
      </c>
      <c r="O186" s="31">
        <f ca="1" t="shared" si="65"/>
        <v>0</v>
      </c>
    </row>
    <row r="187" s="28" customFormat="1" ht="15" customHeight="1" spans="1:15">
      <c r="A187" s="13" t="str">
        <f>'Section-Category'!A152</f>
        <v>Youtube</v>
      </c>
      <c r="B187" s="120" t="str">
        <f ca="1" t="array" ref="B187">IF(OR(TRIM(INDIRECT("'"&amp;B$6&amp;"'!"&amp;B$4&amp;ROW()-45))="0",INDIRECT("'"&amp;B$6&amp;"'!"&amp;B$4&amp;ROW()-45)="",NOT(ISNUMBER(INDIRECT("'"&amp;B$6&amp;"'!"&amp;B$4&amp;ROW()-45)))),"-",INDIRECT("'"&amp;B$6&amp;"'!"&amp;B$4&amp;ROW()-45))</f>
        <v>-</v>
      </c>
      <c r="C187" s="120" t="str">
        <f ca="1" t="array" ref="C187">IF(OR(TRIM(INDIRECT("'"&amp;C$6&amp;"'!"&amp;C$4&amp;ROW()-45))="0",INDIRECT("'"&amp;C$6&amp;"'!"&amp;C$4&amp;ROW()-45)="",NOT(ISNUMBER(INDIRECT("'"&amp;C$6&amp;"'!"&amp;C$4&amp;ROW()-45)))),"-",INDIRECT("'"&amp;C$6&amp;"'!"&amp;C$4&amp;ROW()-45))</f>
        <v>-</v>
      </c>
      <c r="D187" s="120" t="str">
        <f ca="1" t="array" ref="D187">IF(OR(TRIM(INDIRECT("'"&amp;D$6&amp;"'!"&amp;D$4&amp;ROW()-45))="0",INDIRECT("'"&amp;D$6&amp;"'!"&amp;D$4&amp;ROW()-45)="",NOT(ISNUMBER(INDIRECT("'"&amp;D$6&amp;"'!"&amp;D$4&amp;ROW()-45)))),"-",INDIRECT("'"&amp;D$6&amp;"'!"&amp;D$4&amp;ROW()-45))</f>
        <v>-</v>
      </c>
      <c r="E187" s="120" t="str">
        <f ca="1" t="array" ref="E187">IF(OR(TRIM(INDIRECT("'"&amp;E$6&amp;"'!"&amp;E$4&amp;ROW()-45))="0",INDIRECT("'"&amp;E$6&amp;"'!"&amp;E$4&amp;ROW()-45)="",NOT(ISNUMBER(INDIRECT("'"&amp;E$6&amp;"'!"&amp;E$4&amp;ROW()-45)))),"-",INDIRECT("'"&amp;E$6&amp;"'!"&amp;E$4&amp;ROW()-45))</f>
        <v>-</v>
      </c>
      <c r="F187" s="120" t="str">
        <f ca="1" t="array" ref="F187">IF(OR(TRIM(INDIRECT("'"&amp;F$6&amp;"'!"&amp;F$4&amp;ROW()-45))="0",INDIRECT("'"&amp;F$6&amp;"'!"&amp;F$4&amp;ROW()-45)="",NOT(ISNUMBER(INDIRECT("'"&amp;F$6&amp;"'!"&amp;F$4&amp;ROW()-45)))),"-",INDIRECT("'"&amp;F$6&amp;"'!"&amp;F$4&amp;ROW()-45))</f>
        <v>-</v>
      </c>
      <c r="G187" s="120" t="str">
        <f ca="1" t="array" ref="G187">IF(OR(TRIM(INDIRECT("'"&amp;G$6&amp;"'!"&amp;G$4&amp;ROW()-45))="0",INDIRECT("'"&amp;G$6&amp;"'!"&amp;G$4&amp;ROW()-45)="",NOT(ISNUMBER(INDIRECT("'"&amp;G$6&amp;"'!"&amp;G$4&amp;ROW()-45)))),"-",INDIRECT("'"&amp;G$6&amp;"'!"&amp;G$4&amp;ROW()-45))</f>
        <v>-</v>
      </c>
      <c r="H187" s="120" t="str">
        <f ca="1" t="array" ref="H187">IF(OR(TRIM(INDIRECT("'"&amp;H$6&amp;"'!"&amp;H$4&amp;ROW()-45))="0",INDIRECT("'"&amp;H$6&amp;"'!"&amp;H$4&amp;ROW()-45)="",NOT(ISNUMBER(INDIRECT("'"&amp;H$6&amp;"'!"&amp;H$4&amp;ROW()-45)))),"-",INDIRECT("'"&amp;H$6&amp;"'!"&amp;H$4&amp;ROW()-45))</f>
        <v>-</v>
      </c>
      <c r="I187" s="120" t="str">
        <f ca="1" t="array" ref="I187">IF(OR(TRIM(INDIRECT("'"&amp;I$6&amp;"'!"&amp;I$4&amp;ROW()-45))="0",INDIRECT("'"&amp;I$6&amp;"'!"&amp;I$4&amp;ROW()-45)="",NOT(ISNUMBER(INDIRECT("'"&amp;I$6&amp;"'!"&amp;I$4&amp;ROW()-45)))),"-",INDIRECT("'"&amp;I$6&amp;"'!"&amp;I$4&amp;ROW()-45))</f>
        <v>-</v>
      </c>
      <c r="J187" s="120" t="str">
        <f ca="1" t="array" ref="J187">IF(OR(TRIM(INDIRECT("'"&amp;J$6&amp;"'!"&amp;J$4&amp;ROW()-45))="0",INDIRECT("'"&amp;J$6&amp;"'!"&amp;J$4&amp;ROW()-45)="",NOT(ISNUMBER(INDIRECT("'"&amp;J$6&amp;"'!"&amp;J$4&amp;ROW()-45)))),"-",INDIRECT("'"&amp;J$6&amp;"'!"&amp;J$4&amp;ROW()-45))</f>
        <v>-</v>
      </c>
      <c r="K187" s="120" t="str">
        <f ca="1" t="array" ref="K187">IF(OR(TRIM(INDIRECT("'"&amp;K$6&amp;"'!"&amp;K$4&amp;ROW()-45))="0",INDIRECT("'"&amp;K$6&amp;"'!"&amp;K$4&amp;ROW()-45)="",NOT(ISNUMBER(INDIRECT("'"&amp;K$6&amp;"'!"&amp;K$4&amp;ROW()-45)))),"-",INDIRECT("'"&amp;K$6&amp;"'!"&amp;K$4&amp;ROW()-45))</f>
        <v>-</v>
      </c>
      <c r="L187" s="120" t="str">
        <f ca="1" t="array" ref="L187">IF(OR(TRIM(INDIRECT("'"&amp;L$6&amp;"'!"&amp;L$4&amp;ROW()-45))="0",INDIRECT("'"&amp;L$6&amp;"'!"&amp;L$4&amp;ROW()-45)="",NOT(ISNUMBER(INDIRECT("'"&amp;L$6&amp;"'!"&amp;L$4&amp;ROW()-45)))),"-",INDIRECT("'"&amp;L$6&amp;"'!"&amp;L$4&amp;ROW()-45))</f>
        <v>-</v>
      </c>
      <c r="M187" s="120" t="str">
        <f ca="1" t="array" ref="M187">IF(OR(TRIM(INDIRECT("'"&amp;M$6&amp;"'!"&amp;M$4&amp;ROW()-45))="0",INDIRECT("'"&amp;M$6&amp;"'!"&amp;M$4&amp;ROW()-45)="",NOT(ISNUMBER(INDIRECT("'"&amp;M$6&amp;"'!"&amp;M$4&amp;ROW()-45)))),"-",INDIRECT("'"&amp;M$6&amp;"'!"&amp;M$4&amp;ROW()-45))</f>
        <v>-</v>
      </c>
      <c r="N187" s="31">
        <f ca="1" t="shared" si="64"/>
        <v>0</v>
      </c>
      <c r="O187" s="31">
        <f ca="1" t="shared" si="65"/>
        <v>0</v>
      </c>
    </row>
    <row r="188" s="28" customFormat="1" ht="15" customHeight="1" spans="1:15">
      <c r="A188" s="13" t="str">
        <f>'Section-Category'!A153</f>
        <v>Google One</v>
      </c>
      <c r="B188" s="120" t="str">
        <f ca="1" t="array" ref="B188">IF(OR(TRIM(INDIRECT("'"&amp;B$6&amp;"'!"&amp;B$4&amp;ROW()-45))="0",INDIRECT("'"&amp;B$6&amp;"'!"&amp;B$4&amp;ROW()-45)="",NOT(ISNUMBER(INDIRECT("'"&amp;B$6&amp;"'!"&amp;B$4&amp;ROW()-45)))),"-",INDIRECT("'"&amp;B$6&amp;"'!"&amp;B$4&amp;ROW()-45))</f>
        <v>-</v>
      </c>
      <c r="C188" s="120" t="str">
        <f ca="1" t="array" ref="C188">IF(OR(TRIM(INDIRECT("'"&amp;C$6&amp;"'!"&amp;C$4&amp;ROW()-45))="0",INDIRECT("'"&amp;C$6&amp;"'!"&amp;C$4&amp;ROW()-45)="",NOT(ISNUMBER(INDIRECT("'"&amp;C$6&amp;"'!"&amp;C$4&amp;ROW()-45)))),"-",INDIRECT("'"&amp;C$6&amp;"'!"&amp;C$4&amp;ROW()-45))</f>
        <v>-</v>
      </c>
      <c r="D188" s="120" t="str">
        <f ca="1" t="array" ref="D188">IF(OR(TRIM(INDIRECT("'"&amp;D$6&amp;"'!"&amp;D$4&amp;ROW()-45))="0",INDIRECT("'"&amp;D$6&amp;"'!"&amp;D$4&amp;ROW()-45)="",NOT(ISNUMBER(INDIRECT("'"&amp;D$6&amp;"'!"&amp;D$4&amp;ROW()-45)))),"-",INDIRECT("'"&amp;D$6&amp;"'!"&amp;D$4&amp;ROW()-45))</f>
        <v>-</v>
      </c>
      <c r="E188" s="120" t="str">
        <f ca="1" t="array" ref="E188">IF(OR(TRIM(INDIRECT("'"&amp;E$6&amp;"'!"&amp;E$4&amp;ROW()-45))="0",INDIRECT("'"&amp;E$6&amp;"'!"&amp;E$4&amp;ROW()-45)="",NOT(ISNUMBER(INDIRECT("'"&amp;E$6&amp;"'!"&amp;E$4&amp;ROW()-45)))),"-",INDIRECT("'"&amp;E$6&amp;"'!"&amp;E$4&amp;ROW()-45))</f>
        <v>-</v>
      </c>
      <c r="F188" s="120" t="str">
        <f ca="1" t="array" ref="F188">IF(OR(TRIM(INDIRECT("'"&amp;F$6&amp;"'!"&amp;F$4&amp;ROW()-45))="0",INDIRECT("'"&amp;F$6&amp;"'!"&amp;F$4&amp;ROW()-45)="",NOT(ISNUMBER(INDIRECT("'"&amp;F$6&amp;"'!"&amp;F$4&amp;ROW()-45)))),"-",INDIRECT("'"&amp;F$6&amp;"'!"&amp;F$4&amp;ROW()-45))</f>
        <v>-</v>
      </c>
      <c r="G188" s="120" t="str">
        <f ca="1" t="array" ref="G188">IF(OR(TRIM(INDIRECT("'"&amp;G$6&amp;"'!"&amp;G$4&amp;ROW()-45))="0",INDIRECT("'"&amp;G$6&amp;"'!"&amp;G$4&amp;ROW()-45)="",NOT(ISNUMBER(INDIRECT("'"&amp;G$6&amp;"'!"&amp;G$4&amp;ROW()-45)))),"-",INDIRECT("'"&amp;G$6&amp;"'!"&amp;G$4&amp;ROW()-45))</f>
        <v>-</v>
      </c>
      <c r="H188" s="120" t="str">
        <f ca="1" t="array" ref="H188">IF(OR(TRIM(INDIRECT("'"&amp;H$6&amp;"'!"&amp;H$4&amp;ROW()-45))="0",INDIRECT("'"&amp;H$6&amp;"'!"&amp;H$4&amp;ROW()-45)="",NOT(ISNUMBER(INDIRECT("'"&amp;H$6&amp;"'!"&amp;H$4&amp;ROW()-45)))),"-",INDIRECT("'"&amp;H$6&amp;"'!"&amp;H$4&amp;ROW()-45))</f>
        <v>-</v>
      </c>
      <c r="I188" s="120" t="str">
        <f ca="1" t="array" ref="I188">IF(OR(TRIM(INDIRECT("'"&amp;I$6&amp;"'!"&amp;I$4&amp;ROW()-45))="0",INDIRECT("'"&amp;I$6&amp;"'!"&amp;I$4&amp;ROW()-45)="",NOT(ISNUMBER(INDIRECT("'"&amp;I$6&amp;"'!"&amp;I$4&amp;ROW()-45)))),"-",INDIRECT("'"&amp;I$6&amp;"'!"&amp;I$4&amp;ROW()-45))</f>
        <v>-</v>
      </c>
      <c r="J188" s="120" t="str">
        <f ca="1" t="array" ref="J188">IF(OR(TRIM(INDIRECT("'"&amp;J$6&amp;"'!"&amp;J$4&amp;ROW()-45))="0",INDIRECT("'"&amp;J$6&amp;"'!"&amp;J$4&amp;ROW()-45)="",NOT(ISNUMBER(INDIRECT("'"&amp;J$6&amp;"'!"&amp;J$4&amp;ROW()-45)))),"-",INDIRECT("'"&amp;J$6&amp;"'!"&amp;J$4&amp;ROW()-45))</f>
        <v>-</v>
      </c>
      <c r="K188" s="120" t="str">
        <f ca="1" t="array" ref="K188">IF(OR(TRIM(INDIRECT("'"&amp;K$6&amp;"'!"&amp;K$4&amp;ROW()-45))="0",INDIRECT("'"&amp;K$6&amp;"'!"&amp;K$4&amp;ROW()-45)="",NOT(ISNUMBER(INDIRECT("'"&amp;K$6&amp;"'!"&amp;K$4&amp;ROW()-45)))),"-",INDIRECT("'"&amp;K$6&amp;"'!"&amp;K$4&amp;ROW()-45))</f>
        <v>-</v>
      </c>
      <c r="L188" s="120" t="str">
        <f ca="1" t="array" ref="L188">IF(OR(TRIM(INDIRECT("'"&amp;L$6&amp;"'!"&amp;L$4&amp;ROW()-45))="0",INDIRECT("'"&amp;L$6&amp;"'!"&amp;L$4&amp;ROW()-45)="",NOT(ISNUMBER(INDIRECT("'"&amp;L$6&amp;"'!"&amp;L$4&amp;ROW()-45)))),"-",INDIRECT("'"&amp;L$6&amp;"'!"&amp;L$4&amp;ROW()-45))</f>
        <v>-</v>
      </c>
      <c r="M188" s="120" t="str">
        <f ca="1" t="array" ref="M188">IF(OR(TRIM(INDIRECT("'"&amp;M$6&amp;"'!"&amp;M$4&amp;ROW()-45))="0",INDIRECT("'"&amp;M$6&amp;"'!"&amp;M$4&amp;ROW()-45)="",NOT(ISNUMBER(INDIRECT("'"&amp;M$6&amp;"'!"&amp;M$4&amp;ROW()-45)))),"-",INDIRECT("'"&amp;M$6&amp;"'!"&amp;M$4&amp;ROW()-45))</f>
        <v>-</v>
      </c>
      <c r="N188" s="31"/>
      <c r="O188" s="31"/>
    </row>
    <row r="189" s="28" customFormat="1" ht="15" customHeight="1" spans="1:15">
      <c r="A189" s="13" t="str">
        <f>'Section-Category'!A154</f>
        <v>Hetzner VM</v>
      </c>
      <c r="B189" s="120" t="str">
        <f ca="1" t="array" ref="B189">IF(OR(TRIM(INDIRECT("'"&amp;B$6&amp;"'!"&amp;B$4&amp;ROW()-45))="0",INDIRECT("'"&amp;B$6&amp;"'!"&amp;B$4&amp;ROW()-45)="",NOT(ISNUMBER(INDIRECT("'"&amp;B$6&amp;"'!"&amp;B$4&amp;ROW()-45)))),"-",INDIRECT("'"&amp;B$6&amp;"'!"&amp;B$4&amp;ROW()-45))</f>
        <v>-</v>
      </c>
      <c r="C189" s="120" t="str">
        <f ca="1" t="array" ref="C189">IF(OR(TRIM(INDIRECT("'"&amp;C$6&amp;"'!"&amp;C$4&amp;ROW()-45))="0",INDIRECT("'"&amp;C$6&amp;"'!"&amp;C$4&amp;ROW()-45)="",NOT(ISNUMBER(INDIRECT("'"&amp;C$6&amp;"'!"&amp;C$4&amp;ROW()-45)))),"-",INDIRECT("'"&amp;C$6&amp;"'!"&amp;C$4&amp;ROW()-45))</f>
        <v>-</v>
      </c>
      <c r="D189" s="120" t="str">
        <f ca="1" t="array" ref="D189">IF(OR(TRIM(INDIRECT("'"&amp;D$6&amp;"'!"&amp;D$4&amp;ROW()-45))="0",INDIRECT("'"&amp;D$6&amp;"'!"&amp;D$4&amp;ROW()-45)="",NOT(ISNUMBER(INDIRECT("'"&amp;D$6&amp;"'!"&amp;D$4&amp;ROW()-45)))),"-",INDIRECT("'"&amp;D$6&amp;"'!"&amp;D$4&amp;ROW()-45))</f>
        <v>-</v>
      </c>
      <c r="E189" s="120" t="str">
        <f ca="1" t="array" ref="E189">IF(OR(TRIM(INDIRECT("'"&amp;E$6&amp;"'!"&amp;E$4&amp;ROW()-45))="0",INDIRECT("'"&amp;E$6&amp;"'!"&amp;E$4&amp;ROW()-45)="",NOT(ISNUMBER(INDIRECT("'"&amp;E$6&amp;"'!"&amp;E$4&amp;ROW()-45)))),"-",INDIRECT("'"&amp;E$6&amp;"'!"&amp;E$4&amp;ROW()-45))</f>
        <v>-</v>
      </c>
      <c r="F189" s="120" t="str">
        <f ca="1" t="array" ref="F189">IF(OR(TRIM(INDIRECT("'"&amp;F$6&amp;"'!"&amp;F$4&amp;ROW()-45))="0",INDIRECT("'"&amp;F$6&amp;"'!"&amp;F$4&amp;ROW()-45)="",NOT(ISNUMBER(INDIRECT("'"&amp;F$6&amp;"'!"&amp;F$4&amp;ROW()-45)))),"-",INDIRECT("'"&amp;F$6&amp;"'!"&amp;F$4&amp;ROW()-45))</f>
        <v>-</v>
      </c>
      <c r="G189" s="120" t="str">
        <f ca="1" t="array" ref="G189">IF(OR(TRIM(INDIRECT("'"&amp;G$6&amp;"'!"&amp;G$4&amp;ROW()-45))="0",INDIRECT("'"&amp;G$6&amp;"'!"&amp;G$4&amp;ROW()-45)="",NOT(ISNUMBER(INDIRECT("'"&amp;G$6&amp;"'!"&amp;G$4&amp;ROW()-45)))),"-",INDIRECT("'"&amp;G$6&amp;"'!"&amp;G$4&amp;ROW()-45))</f>
        <v>-</v>
      </c>
      <c r="H189" s="120" t="str">
        <f ca="1" t="array" ref="H189">IF(OR(TRIM(INDIRECT("'"&amp;H$6&amp;"'!"&amp;H$4&amp;ROW()-45))="0",INDIRECT("'"&amp;H$6&amp;"'!"&amp;H$4&amp;ROW()-45)="",NOT(ISNUMBER(INDIRECT("'"&amp;H$6&amp;"'!"&amp;H$4&amp;ROW()-45)))),"-",INDIRECT("'"&amp;H$6&amp;"'!"&amp;H$4&amp;ROW()-45))</f>
        <v>-</v>
      </c>
      <c r="I189" s="120" t="str">
        <f ca="1" t="array" ref="I189">IF(OR(TRIM(INDIRECT("'"&amp;I$6&amp;"'!"&amp;I$4&amp;ROW()-45))="0",INDIRECT("'"&amp;I$6&amp;"'!"&amp;I$4&amp;ROW()-45)="",NOT(ISNUMBER(INDIRECT("'"&amp;I$6&amp;"'!"&amp;I$4&amp;ROW()-45)))),"-",INDIRECT("'"&amp;I$6&amp;"'!"&amp;I$4&amp;ROW()-45))</f>
        <v>-</v>
      </c>
      <c r="J189" s="120" t="str">
        <f ca="1" t="array" ref="J189">IF(OR(TRIM(INDIRECT("'"&amp;J$6&amp;"'!"&amp;J$4&amp;ROW()-45))="0",INDIRECT("'"&amp;J$6&amp;"'!"&amp;J$4&amp;ROW()-45)="",NOT(ISNUMBER(INDIRECT("'"&amp;J$6&amp;"'!"&amp;J$4&amp;ROW()-45)))),"-",INDIRECT("'"&amp;J$6&amp;"'!"&amp;J$4&amp;ROW()-45))</f>
        <v>-</v>
      </c>
      <c r="K189" s="120" t="str">
        <f ca="1" t="array" ref="K189">IF(OR(TRIM(INDIRECT("'"&amp;K$6&amp;"'!"&amp;K$4&amp;ROW()-45))="0",INDIRECT("'"&amp;K$6&amp;"'!"&amp;K$4&amp;ROW()-45)="",NOT(ISNUMBER(INDIRECT("'"&amp;K$6&amp;"'!"&amp;K$4&amp;ROW()-45)))),"-",INDIRECT("'"&amp;K$6&amp;"'!"&amp;K$4&amp;ROW()-45))</f>
        <v>-</v>
      </c>
      <c r="L189" s="120" t="str">
        <f ca="1" t="array" ref="L189">IF(OR(TRIM(INDIRECT("'"&amp;L$6&amp;"'!"&amp;L$4&amp;ROW()-45))="0",INDIRECT("'"&amp;L$6&amp;"'!"&amp;L$4&amp;ROW()-45)="",NOT(ISNUMBER(INDIRECT("'"&amp;L$6&amp;"'!"&amp;L$4&amp;ROW()-45)))),"-",INDIRECT("'"&amp;L$6&amp;"'!"&amp;L$4&amp;ROW()-45))</f>
        <v>-</v>
      </c>
      <c r="M189" s="120" t="str">
        <f ca="1" t="array" ref="M189">IF(OR(TRIM(INDIRECT("'"&amp;M$6&amp;"'!"&amp;M$4&amp;ROW()-45))="0",INDIRECT("'"&amp;M$6&amp;"'!"&amp;M$4&amp;ROW()-45)="",NOT(ISNUMBER(INDIRECT("'"&amp;M$6&amp;"'!"&amp;M$4&amp;ROW()-45)))),"-",INDIRECT("'"&amp;M$6&amp;"'!"&amp;M$4&amp;ROW()-45))</f>
        <v>-</v>
      </c>
      <c r="N189" s="31">
        <f ca="1">SUM(B189:M189)</f>
        <v>0</v>
      </c>
      <c r="O189" s="31">
        <f ca="1">N189/COLUMNS(B189:M189)</f>
        <v>0</v>
      </c>
    </row>
    <row r="190" s="28" customFormat="1" ht="15.75" customHeight="1" spans="1:15">
      <c r="A190" s="13" t="str">
        <f>'Section-Category'!A155</f>
        <v>Claude/ChatGPT/Gemini -AI</v>
      </c>
      <c r="B190" s="120" t="str">
        <f ca="1" t="array" ref="B190">IF(OR(TRIM(INDIRECT("'"&amp;B$6&amp;"'!"&amp;B$4&amp;ROW()-45))="0",INDIRECT("'"&amp;B$6&amp;"'!"&amp;B$4&amp;ROW()-45)="",NOT(ISNUMBER(INDIRECT("'"&amp;B$6&amp;"'!"&amp;B$4&amp;ROW()-45)))),"-",INDIRECT("'"&amp;B$6&amp;"'!"&amp;B$4&amp;ROW()-45))</f>
        <v>-</v>
      </c>
      <c r="C190" s="120" t="str">
        <f ca="1" t="array" ref="C190">IF(OR(TRIM(INDIRECT("'"&amp;C$6&amp;"'!"&amp;C$4&amp;ROW()-45))="0",INDIRECT("'"&amp;C$6&amp;"'!"&amp;C$4&amp;ROW()-45)="",NOT(ISNUMBER(INDIRECT("'"&amp;C$6&amp;"'!"&amp;C$4&amp;ROW()-45)))),"-",INDIRECT("'"&amp;C$6&amp;"'!"&amp;C$4&amp;ROW()-45))</f>
        <v>-</v>
      </c>
      <c r="D190" s="120" t="str">
        <f ca="1" t="array" ref="D190">IF(OR(TRIM(INDIRECT("'"&amp;D$6&amp;"'!"&amp;D$4&amp;ROW()-45))="0",INDIRECT("'"&amp;D$6&amp;"'!"&amp;D$4&amp;ROW()-45)="",NOT(ISNUMBER(INDIRECT("'"&amp;D$6&amp;"'!"&amp;D$4&amp;ROW()-45)))),"-",INDIRECT("'"&amp;D$6&amp;"'!"&amp;D$4&amp;ROW()-45))</f>
        <v>-</v>
      </c>
      <c r="E190" s="120" t="str">
        <f ca="1" t="array" ref="E190">IF(OR(TRIM(INDIRECT("'"&amp;E$6&amp;"'!"&amp;E$4&amp;ROW()-45))="0",INDIRECT("'"&amp;E$6&amp;"'!"&amp;E$4&amp;ROW()-45)="",NOT(ISNUMBER(INDIRECT("'"&amp;E$6&amp;"'!"&amp;E$4&amp;ROW()-45)))),"-",INDIRECT("'"&amp;E$6&amp;"'!"&amp;E$4&amp;ROW()-45))</f>
        <v>-</v>
      </c>
      <c r="F190" s="120" t="str">
        <f ca="1" t="array" ref="F190">IF(OR(TRIM(INDIRECT("'"&amp;F$6&amp;"'!"&amp;F$4&amp;ROW()-45))="0",INDIRECT("'"&amp;F$6&amp;"'!"&amp;F$4&amp;ROW()-45)="",NOT(ISNUMBER(INDIRECT("'"&amp;F$6&amp;"'!"&amp;F$4&amp;ROW()-45)))),"-",INDIRECT("'"&amp;F$6&amp;"'!"&amp;F$4&amp;ROW()-45))</f>
        <v>-</v>
      </c>
      <c r="G190" s="120" t="str">
        <f ca="1" t="array" ref="G190">IF(OR(TRIM(INDIRECT("'"&amp;G$6&amp;"'!"&amp;G$4&amp;ROW()-45))="0",INDIRECT("'"&amp;G$6&amp;"'!"&amp;G$4&amp;ROW()-45)="",NOT(ISNUMBER(INDIRECT("'"&amp;G$6&amp;"'!"&amp;G$4&amp;ROW()-45)))),"-",INDIRECT("'"&amp;G$6&amp;"'!"&amp;G$4&amp;ROW()-45))</f>
        <v>-</v>
      </c>
      <c r="H190" s="120" t="str">
        <f ca="1" t="array" ref="H190">IF(OR(TRIM(INDIRECT("'"&amp;H$6&amp;"'!"&amp;H$4&amp;ROW()-45))="0",INDIRECT("'"&amp;H$6&amp;"'!"&amp;H$4&amp;ROW()-45)="",NOT(ISNUMBER(INDIRECT("'"&amp;H$6&amp;"'!"&amp;H$4&amp;ROW()-45)))),"-",INDIRECT("'"&amp;H$6&amp;"'!"&amp;H$4&amp;ROW()-45))</f>
        <v>-</v>
      </c>
      <c r="I190" s="120" t="str">
        <f ca="1" t="array" ref="I190">IF(OR(TRIM(INDIRECT("'"&amp;I$6&amp;"'!"&amp;I$4&amp;ROW()-45))="0",INDIRECT("'"&amp;I$6&amp;"'!"&amp;I$4&amp;ROW()-45)="",NOT(ISNUMBER(INDIRECT("'"&amp;I$6&amp;"'!"&amp;I$4&amp;ROW()-45)))),"-",INDIRECT("'"&amp;I$6&amp;"'!"&amp;I$4&amp;ROW()-45))</f>
        <v>-</v>
      </c>
      <c r="J190" s="120" t="str">
        <f ca="1" t="array" ref="J190">IF(OR(TRIM(INDIRECT("'"&amp;J$6&amp;"'!"&amp;J$4&amp;ROW()-45))="0",INDIRECT("'"&amp;J$6&amp;"'!"&amp;J$4&amp;ROW()-45)="",NOT(ISNUMBER(INDIRECT("'"&amp;J$6&amp;"'!"&amp;J$4&amp;ROW()-45)))),"-",INDIRECT("'"&amp;J$6&amp;"'!"&amp;J$4&amp;ROW()-45))</f>
        <v>-</v>
      </c>
      <c r="K190" s="120" t="str">
        <f ca="1" t="array" ref="K190">IF(OR(TRIM(INDIRECT("'"&amp;K$6&amp;"'!"&amp;K$4&amp;ROW()-45))="0",INDIRECT("'"&amp;K$6&amp;"'!"&amp;K$4&amp;ROW()-45)="",NOT(ISNUMBER(INDIRECT("'"&amp;K$6&amp;"'!"&amp;K$4&amp;ROW()-45)))),"-",INDIRECT("'"&amp;K$6&amp;"'!"&amp;K$4&amp;ROW()-45))</f>
        <v>-</v>
      </c>
      <c r="L190" s="120" t="str">
        <f ca="1" t="array" ref="L190">IF(OR(TRIM(INDIRECT("'"&amp;L$6&amp;"'!"&amp;L$4&amp;ROW()-45))="0",INDIRECT("'"&amp;L$6&amp;"'!"&amp;L$4&amp;ROW()-45)="",NOT(ISNUMBER(INDIRECT("'"&amp;L$6&amp;"'!"&amp;L$4&amp;ROW()-45)))),"-",INDIRECT("'"&amp;L$6&amp;"'!"&amp;L$4&amp;ROW()-45))</f>
        <v>-</v>
      </c>
      <c r="M190" s="120" t="str">
        <f ca="1" t="array" ref="M190">IF(OR(TRIM(INDIRECT("'"&amp;M$6&amp;"'!"&amp;M$4&amp;ROW()-45))="0",INDIRECT("'"&amp;M$6&amp;"'!"&amp;M$4&amp;ROW()-45)="",NOT(ISNUMBER(INDIRECT("'"&amp;M$6&amp;"'!"&amp;M$4&amp;ROW()-45)))),"-",INDIRECT("'"&amp;M$6&amp;"'!"&amp;M$4&amp;ROW()-45))</f>
        <v>-</v>
      </c>
      <c r="N190" s="31">
        <f ca="1">SUM(B190:M190)</f>
        <v>0</v>
      </c>
      <c r="O190" s="31">
        <f ca="1">N190/COLUMNS(B190:M190)</f>
        <v>0</v>
      </c>
    </row>
    <row r="191" s="66" customFormat="1" ht="15" customHeight="1" spans="1:15">
      <c r="A191" s="10" t="str">
        <f>'Section-Category'!A156</f>
        <v>Total SUBSCRIPTIONS</v>
      </c>
      <c r="B191" s="123">
        <f ca="1" t="shared" ref="B191:O191" si="66">SUM(B185:B190)</f>
        <v>0</v>
      </c>
      <c r="C191" s="123">
        <f ca="1" t="shared" si="66"/>
        <v>0</v>
      </c>
      <c r="D191" s="123">
        <f ca="1" t="shared" si="66"/>
        <v>0</v>
      </c>
      <c r="E191" s="123">
        <f ca="1" t="shared" si="66"/>
        <v>0</v>
      </c>
      <c r="F191" s="123">
        <f ca="1" t="shared" si="66"/>
        <v>0</v>
      </c>
      <c r="G191" s="123">
        <f ca="1" t="shared" si="66"/>
        <v>0</v>
      </c>
      <c r="H191" s="123">
        <f ca="1" t="shared" si="66"/>
        <v>0</v>
      </c>
      <c r="I191" s="123">
        <f ca="1" t="shared" si="66"/>
        <v>0</v>
      </c>
      <c r="J191" s="123">
        <f ca="1" t="shared" si="66"/>
        <v>0</v>
      </c>
      <c r="K191" s="123">
        <f ca="1" t="shared" si="66"/>
        <v>0</v>
      </c>
      <c r="L191" s="123">
        <f ca="1" t="shared" si="66"/>
        <v>0</v>
      </c>
      <c r="M191" s="123">
        <f ca="1" t="shared" si="66"/>
        <v>0</v>
      </c>
      <c r="N191" s="39">
        <f ca="1" t="shared" si="66"/>
        <v>0</v>
      </c>
      <c r="O191" s="39">
        <f ca="1" t="shared" si="66"/>
        <v>0</v>
      </c>
    </row>
    <row r="192" s="66" customFormat="1" ht="13.5" customHeight="1" spans="1:15">
      <c r="A192" s="11" t="str">
        <f>'Section-Category'!A157</f>
        <v>% of Total Expenses</v>
      </c>
      <c r="B192" s="124" t="str">
        <f ca="1" t="shared" ref="B192:O192" si="67">IF(B$17=0," - ",B191/B$17)</f>
        <v> - </v>
      </c>
      <c r="C192" s="124" t="str">
        <f ca="1" t="shared" si="67"/>
        <v> - </v>
      </c>
      <c r="D192" s="124" t="str">
        <f ca="1" t="shared" si="67"/>
        <v> - </v>
      </c>
      <c r="E192" s="124" t="str">
        <f ca="1" t="shared" si="67"/>
        <v> - </v>
      </c>
      <c r="F192" s="124" t="str">
        <f ca="1" t="shared" si="67"/>
        <v> - </v>
      </c>
      <c r="G192" s="124" t="str">
        <f ca="1" t="shared" si="67"/>
        <v> - </v>
      </c>
      <c r="H192" s="124" t="str">
        <f ca="1" t="shared" si="67"/>
        <v> - </v>
      </c>
      <c r="I192" s="124" t="str">
        <f ca="1" t="shared" si="67"/>
        <v> - </v>
      </c>
      <c r="J192" s="124" t="str">
        <f ca="1" t="shared" si="67"/>
        <v> - </v>
      </c>
      <c r="K192" s="124" t="str">
        <f ca="1" t="shared" si="67"/>
        <v> - </v>
      </c>
      <c r="L192" s="124" t="str">
        <f ca="1" t="shared" si="67"/>
        <v> - </v>
      </c>
      <c r="M192" s="124" t="str">
        <f ca="1" t="shared" si="67"/>
        <v> - </v>
      </c>
      <c r="N192" s="125" t="str">
        <f ca="1" t="shared" si="67"/>
        <v> - </v>
      </c>
      <c r="O192" s="125" t="str">
        <f ca="1" t="shared" si="67"/>
        <v> - </v>
      </c>
    </row>
    <row r="193" s="28" customFormat="1" ht="13.5" customHeight="1" spans="1:15">
      <c r="A193" s="17" t="str">
        <f>'Section-Category'!A158</f>
        <v>[42]</v>
      </c>
    </row>
    <row r="194" s="62" customFormat="1" spans="1:15">
      <c r="A194" s="12" t="str">
        <f>'Section-Category'!A159</f>
        <v>VACATION</v>
      </c>
      <c r="B194" s="40" t="str">
        <f t="shared" ref="B194:M194" si="68">B$6</f>
        <v>Jan</v>
      </c>
      <c r="C194" s="40" t="str">
        <f t="shared" si="68"/>
        <v>Feb</v>
      </c>
      <c r="D194" s="40" t="str">
        <f t="shared" si="68"/>
        <v>Mar</v>
      </c>
      <c r="E194" s="40" t="str">
        <f t="shared" si="68"/>
        <v>Apr</v>
      </c>
      <c r="F194" s="40" t="str">
        <f t="shared" si="68"/>
        <v>May</v>
      </c>
      <c r="G194" s="40" t="str">
        <f t="shared" si="68"/>
        <v>Jun</v>
      </c>
      <c r="H194" s="40" t="str">
        <f t="shared" si="68"/>
        <v>Jul</v>
      </c>
      <c r="I194" s="40" t="str">
        <f t="shared" si="68"/>
        <v>Aug</v>
      </c>
      <c r="J194" s="40" t="str">
        <f t="shared" si="68"/>
        <v>Sep</v>
      </c>
      <c r="K194" s="40" t="str">
        <f t="shared" si="68"/>
        <v>Oct</v>
      </c>
      <c r="L194" s="40" t="str">
        <f t="shared" si="68"/>
        <v>Nov</v>
      </c>
      <c r="M194" s="40" t="str">
        <f t="shared" si="68"/>
        <v>Dec</v>
      </c>
      <c r="N194" s="40" t="s">
        <v>34</v>
      </c>
      <c r="O194" s="40" t="s">
        <v>35</v>
      </c>
    </row>
    <row r="195" s="28" customFormat="1" ht="15" customHeight="1" spans="1:15">
      <c r="A195" s="13" t="str">
        <f>'Section-Category'!A160</f>
        <v>Travel</v>
      </c>
      <c r="B195" s="120" t="str">
        <f ca="1" t="array" ref="B195">IF(OR(TRIM(INDIRECT("'"&amp;B$6&amp;"'!"&amp;B$4&amp;ROW()-46))="0",INDIRECT("'"&amp;B$6&amp;"'!"&amp;B$4&amp;ROW()-46)="",NOT(ISNUMBER(INDIRECT("'"&amp;B$6&amp;"'!"&amp;B$4&amp;ROW()-46)))),"-",INDIRECT("'"&amp;B$6&amp;"'!"&amp;B$4&amp;ROW()-46))</f>
        <v>-</v>
      </c>
      <c r="C195" s="120" t="str">
        <f ca="1" t="array" ref="C195">IF(OR(TRIM(INDIRECT("'"&amp;C$6&amp;"'!"&amp;C$4&amp;ROW()-46))="0",INDIRECT("'"&amp;C$6&amp;"'!"&amp;C$4&amp;ROW()-46)="",NOT(ISNUMBER(INDIRECT("'"&amp;C$6&amp;"'!"&amp;C$4&amp;ROW()-46)))),"-",INDIRECT("'"&amp;C$6&amp;"'!"&amp;C$4&amp;ROW()-46))</f>
        <v>-</v>
      </c>
      <c r="D195" s="120" t="str">
        <f ca="1" t="array" ref="D195">IF(OR(TRIM(INDIRECT("'"&amp;D$6&amp;"'!"&amp;D$4&amp;ROW()-46))="0",INDIRECT("'"&amp;D$6&amp;"'!"&amp;D$4&amp;ROW()-46)="",NOT(ISNUMBER(INDIRECT("'"&amp;D$6&amp;"'!"&amp;D$4&amp;ROW()-46)))),"-",INDIRECT("'"&amp;D$6&amp;"'!"&amp;D$4&amp;ROW()-46))</f>
        <v>-</v>
      </c>
      <c r="E195" s="120" t="str">
        <f ca="1" t="array" ref="E195">IF(OR(TRIM(INDIRECT("'"&amp;E$6&amp;"'!"&amp;E$4&amp;ROW()-46))="0",INDIRECT("'"&amp;E$6&amp;"'!"&amp;E$4&amp;ROW()-46)="",NOT(ISNUMBER(INDIRECT("'"&amp;E$6&amp;"'!"&amp;E$4&amp;ROW()-46)))),"-",INDIRECT("'"&amp;E$6&amp;"'!"&amp;E$4&amp;ROW()-46))</f>
        <v>-</v>
      </c>
      <c r="F195" s="120" t="str">
        <f ca="1" t="array" ref="F195">IF(OR(TRIM(INDIRECT("'"&amp;F$6&amp;"'!"&amp;F$4&amp;ROW()-46))="0",INDIRECT("'"&amp;F$6&amp;"'!"&amp;F$4&amp;ROW()-46)="",NOT(ISNUMBER(INDIRECT("'"&amp;F$6&amp;"'!"&amp;F$4&amp;ROW()-46)))),"-",INDIRECT("'"&amp;F$6&amp;"'!"&amp;F$4&amp;ROW()-46))</f>
        <v>-</v>
      </c>
      <c r="G195" s="120" t="str">
        <f ca="1" t="array" ref="G195">IF(OR(TRIM(INDIRECT("'"&amp;G$6&amp;"'!"&amp;G$4&amp;ROW()-46))="0",INDIRECT("'"&amp;G$6&amp;"'!"&amp;G$4&amp;ROW()-46)="",NOT(ISNUMBER(INDIRECT("'"&amp;G$6&amp;"'!"&amp;G$4&amp;ROW()-46)))),"-",INDIRECT("'"&amp;G$6&amp;"'!"&amp;G$4&amp;ROW()-46))</f>
        <v>-</v>
      </c>
      <c r="H195" s="120" t="str">
        <f ca="1" t="array" ref="H195">IF(OR(TRIM(INDIRECT("'"&amp;H$6&amp;"'!"&amp;H$4&amp;ROW()-46))="0",INDIRECT("'"&amp;H$6&amp;"'!"&amp;H$4&amp;ROW()-46)="",NOT(ISNUMBER(INDIRECT("'"&amp;H$6&amp;"'!"&amp;H$4&amp;ROW()-46)))),"-",INDIRECT("'"&amp;H$6&amp;"'!"&amp;H$4&amp;ROW()-46))</f>
        <v>-</v>
      </c>
      <c r="I195" s="120" t="str">
        <f ca="1" t="array" ref="I195">IF(OR(TRIM(INDIRECT("'"&amp;I$6&amp;"'!"&amp;I$4&amp;ROW()-46))="0",INDIRECT("'"&amp;I$6&amp;"'!"&amp;I$4&amp;ROW()-46)="",NOT(ISNUMBER(INDIRECT("'"&amp;I$6&amp;"'!"&amp;I$4&amp;ROW()-46)))),"-",INDIRECT("'"&amp;I$6&amp;"'!"&amp;I$4&amp;ROW()-46))</f>
        <v>-</v>
      </c>
      <c r="J195" s="120" t="str">
        <f ca="1" t="array" ref="J195">IF(OR(TRIM(INDIRECT("'"&amp;J$6&amp;"'!"&amp;J$4&amp;ROW()-46))="0",INDIRECT("'"&amp;J$6&amp;"'!"&amp;J$4&amp;ROW()-46)="",NOT(ISNUMBER(INDIRECT("'"&amp;J$6&amp;"'!"&amp;J$4&amp;ROW()-46)))),"-",INDIRECT("'"&amp;J$6&amp;"'!"&amp;J$4&amp;ROW()-46))</f>
        <v>-</v>
      </c>
      <c r="K195" s="120" t="str">
        <f ca="1" t="array" ref="K195">IF(OR(TRIM(INDIRECT("'"&amp;K$6&amp;"'!"&amp;K$4&amp;ROW()-46))="0",INDIRECT("'"&amp;K$6&amp;"'!"&amp;K$4&amp;ROW()-46)="",NOT(ISNUMBER(INDIRECT("'"&amp;K$6&amp;"'!"&amp;K$4&amp;ROW()-46)))),"-",INDIRECT("'"&amp;K$6&amp;"'!"&amp;K$4&amp;ROW()-46))</f>
        <v>-</v>
      </c>
      <c r="L195" s="120" t="str">
        <f ca="1" t="array" ref="L195">IF(OR(TRIM(INDIRECT("'"&amp;L$6&amp;"'!"&amp;L$4&amp;ROW()-46))="0",INDIRECT("'"&amp;L$6&amp;"'!"&amp;L$4&amp;ROW()-46)="",NOT(ISNUMBER(INDIRECT("'"&amp;L$6&amp;"'!"&amp;L$4&amp;ROW()-46)))),"-",INDIRECT("'"&amp;L$6&amp;"'!"&amp;L$4&amp;ROW()-46))</f>
        <v>-</v>
      </c>
      <c r="M195" s="120" t="str">
        <f ca="1" t="array" ref="M195">IF(OR(TRIM(INDIRECT("'"&amp;M$6&amp;"'!"&amp;M$4&amp;ROW()-46))="0",INDIRECT("'"&amp;M$6&amp;"'!"&amp;M$4&amp;ROW()-46)="",NOT(ISNUMBER(INDIRECT("'"&amp;M$6&amp;"'!"&amp;M$4&amp;ROW()-46)))),"-",INDIRECT("'"&amp;M$6&amp;"'!"&amp;M$4&amp;ROW()-46))</f>
        <v>-</v>
      </c>
      <c r="N195" s="31">
        <f ca="1" t="shared" ref="N195:N200" si="69">SUM(B195:M195)</f>
        <v>0</v>
      </c>
      <c r="O195" s="31">
        <f ca="1" t="shared" ref="O195:O200" si="70">N195/COLUMNS(B195:M195)</f>
        <v>0</v>
      </c>
    </row>
    <row r="196" s="28" customFormat="1" ht="15" customHeight="1" spans="1:15">
      <c r="A196" s="13" t="str">
        <f>'Section-Category'!A161</f>
        <v>Lodging</v>
      </c>
      <c r="B196" s="120" t="str">
        <f ca="1" t="array" ref="B196">IF(OR(TRIM(INDIRECT("'"&amp;B$6&amp;"'!"&amp;B$4&amp;ROW()-46))="0",INDIRECT("'"&amp;B$6&amp;"'!"&amp;B$4&amp;ROW()-46)="",NOT(ISNUMBER(INDIRECT("'"&amp;B$6&amp;"'!"&amp;B$4&amp;ROW()-46)))),"-",INDIRECT("'"&amp;B$6&amp;"'!"&amp;B$4&amp;ROW()-46))</f>
        <v>-</v>
      </c>
      <c r="C196" s="120" t="str">
        <f ca="1" t="array" ref="C196">IF(OR(TRIM(INDIRECT("'"&amp;C$6&amp;"'!"&amp;C$4&amp;ROW()-46))="0",INDIRECT("'"&amp;C$6&amp;"'!"&amp;C$4&amp;ROW()-46)="",NOT(ISNUMBER(INDIRECT("'"&amp;C$6&amp;"'!"&amp;C$4&amp;ROW()-46)))),"-",INDIRECT("'"&amp;C$6&amp;"'!"&amp;C$4&amp;ROW()-46))</f>
        <v>-</v>
      </c>
      <c r="D196" s="120" t="str">
        <f ca="1" t="array" ref="D196">IF(OR(TRIM(INDIRECT("'"&amp;D$6&amp;"'!"&amp;D$4&amp;ROW()-46))="0",INDIRECT("'"&amp;D$6&amp;"'!"&amp;D$4&amp;ROW()-46)="",NOT(ISNUMBER(INDIRECT("'"&amp;D$6&amp;"'!"&amp;D$4&amp;ROW()-46)))),"-",INDIRECT("'"&amp;D$6&amp;"'!"&amp;D$4&amp;ROW()-46))</f>
        <v>-</v>
      </c>
      <c r="E196" s="120" t="str">
        <f ca="1" t="array" ref="E196">IF(OR(TRIM(INDIRECT("'"&amp;E$6&amp;"'!"&amp;E$4&amp;ROW()-46))="0",INDIRECT("'"&amp;E$6&amp;"'!"&amp;E$4&amp;ROW()-46)="",NOT(ISNUMBER(INDIRECT("'"&amp;E$6&amp;"'!"&amp;E$4&amp;ROW()-46)))),"-",INDIRECT("'"&amp;E$6&amp;"'!"&amp;E$4&amp;ROW()-46))</f>
        <v>-</v>
      </c>
      <c r="F196" s="120" t="str">
        <f ca="1" t="array" ref="F196">IF(OR(TRIM(INDIRECT("'"&amp;F$6&amp;"'!"&amp;F$4&amp;ROW()-46))="0",INDIRECT("'"&amp;F$6&amp;"'!"&amp;F$4&amp;ROW()-46)="",NOT(ISNUMBER(INDIRECT("'"&amp;F$6&amp;"'!"&amp;F$4&amp;ROW()-46)))),"-",INDIRECT("'"&amp;F$6&amp;"'!"&amp;F$4&amp;ROW()-46))</f>
        <v>-</v>
      </c>
      <c r="G196" s="120" t="str">
        <f ca="1" t="array" ref="G196">IF(OR(TRIM(INDIRECT("'"&amp;G$6&amp;"'!"&amp;G$4&amp;ROW()-46))="0",INDIRECT("'"&amp;G$6&amp;"'!"&amp;G$4&amp;ROW()-46)="",NOT(ISNUMBER(INDIRECT("'"&amp;G$6&amp;"'!"&amp;G$4&amp;ROW()-46)))),"-",INDIRECT("'"&amp;G$6&amp;"'!"&amp;G$4&amp;ROW()-46))</f>
        <v>-</v>
      </c>
      <c r="H196" s="120" t="str">
        <f ca="1" t="array" ref="H196">IF(OR(TRIM(INDIRECT("'"&amp;H$6&amp;"'!"&amp;H$4&amp;ROW()-46))="0",INDIRECT("'"&amp;H$6&amp;"'!"&amp;H$4&amp;ROW()-46)="",NOT(ISNUMBER(INDIRECT("'"&amp;H$6&amp;"'!"&amp;H$4&amp;ROW()-46)))),"-",INDIRECT("'"&amp;H$6&amp;"'!"&amp;H$4&amp;ROW()-46))</f>
        <v>-</v>
      </c>
      <c r="I196" s="120" t="str">
        <f ca="1" t="array" ref="I196">IF(OR(TRIM(INDIRECT("'"&amp;I$6&amp;"'!"&amp;I$4&amp;ROW()-46))="0",INDIRECT("'"&amp;I$6&amp;"'!"&amp;I$4&amp;ROW()-46)="",NOT(ISNUMBER(INDIRECT("'"&amp;I$6&amp;"'!"&amp;I$4&amp;ROW()-46)))),"-",INDIRECT("'"&amp;I$6&amp;"'!"&amp;I$4&amp;ROW()-46))</f>
        <v>-</v>
      </c>
      <c r="J196" s="120" t="str">
        <f ca="1" t="array" ref="J196">IF(OR(TRIM(INDIRECT("'"&amp;J$6&amp;"'!"&amp;J$4&amp;ROW()-46))="0",INDIRECT("'"&amp;J$6&amp;"'!"&amp;J$4&amp;ROW()-46)="",NOT(ISNUMBER(INDIRECT("'"&amp;J$6&amp;"'!"&amp;J$4&amp;ROW()-46)))),"-",INDIRECT("'"&amp;J$6&amp;"'!"&amp;J$4&amp;ROW()-46))</f>
        <v>-</v>
      </c>
      <c r="K196" s="120" t="str">
        <f ca="1" t="array" ref="K196">IF(OR(TRIM(INDIRECT("'"&amp;K$6&amp;"'!"&amp;K$4&amp;ROW()-46))="0",INDIRECT("'"&amp;K$6&amp;"'!"&amp;K$4&amp;ROW()-46)="",NOT(ISNUMBER(INDIRECT("'"&amp;K$6&amp;"'!"&amp;K$4&amp;ROW()-46)))),"-",INDIRECT("'"&amp;K$6&amp;"'!"&amp;K$4&amp;ROW()-46))</f>
        <v>-</v>
      </c>
      <c r="L196" s="120" t="str">
        <f ca="1" t="array" ref="L196">IF(OR(TRIM(INDIRECT("'"&amp;L$6&amp;"'!"&amp;L$4&amp;ROW()-46))="0",INDIRECT("'"&amp;L$6&amp;"'!"&amp;L$4&amp;ROW()-46)="",NOT(ISNUMBER(INDIRECT("'"&amp;L$6&amp;"'!"&amp;L$4&amp;ROW()-46)))),"-",INDIRECT("'"&amp;L$6&amp;"'!"&amp;L$4&amp;ROW()-46))</f>
        <v>-</v>
      </c>
      <c r="M196" s="120" t="str">
        <f ca="1" t="array" ref="M196">IF(OR(TRIM(INDIRECT("'"&amp;M$6&amp;"'!"&amp;M$4&amp;ROW()-46))="0",INDIRECT("'"&amp;M$6&amp;"'!"&amp;M$4&amp;ROW()-46)="",NOT(ISNUMBER(INDIRECT("'"&amp;M$6&amp;"'!"&amp;M$4&amp;ROW()-46)))),"-",INDIRECT("'"&amp;M$6&amp;"'!"&amp;M$4&amp;ROW()-46))</f>
        <v>-</v>
      </c>
      <c r="N196" s="31">
        <f ca="1" t="shared" si="69"/>
        <v>0</v>
      </c>
      <c r="O196" s="31">
        <f ca="1" t="shared" si="70"/>
        <v>0</v>
      </c>
    </row>
    <row r="197" s="66" customFormat="1" ht="15" customHeight="1" spans="1:15">
      <c r="A197" s="13" t="str">
        <f>'Section-Category'!A162</f>
        <v>Food</v>
      </c>
      <c r="B197" s="120" t="str">
        <f ca="1" t="array" ref="B197">IF(OR(TRIM(INDIRECT("'"&amp;B$6&amp;"'!"&amp;B$4&amp;ROW()-46))="0",INDIRECT("'"&amp;B$6&amp;"'!"&amp;B$4&amp;ROW()-46)="",NOT(ISNUMBER(INDIRECT("'"&amp;B$6&amp;"'!"&amp;B$4&amp;ROW()-46)))),"-",INDIRECT("'"&amp;B$6&amp;"'!"&amp;B$4&amp;ROW()-46))</f>
        <v>-</v>
      </c>
      <c r="C197" s="120" t="str">
        <f ca="1" t="array" ref="C197">IF(OR(TRIM(INDIRECT("'"&amp;C$6&amp;"'!"&amp;C$4&amp;ROW()-46))="0",INDIRECT("'"&amp;C$6&amp;"'!"&amp;C$4&amp;ROW()-46)="",NOT(ISNUMBER(INDIRECT("'"&amp;C$6&amp;"'!"&amp;C$4&amp;ROW()-46)))),"-",INDIRECT("'"&amp;C$6&amp;"'!"&amp;C$4&amp;ROW()-46))</f>
        <v>-</v>
      </c>
      <c r="D197" s="120" t="str">
        <f ca="1" t="array" ref="D197">IF(OR(TRIM(INDIRECT("'"&amp;D$6&amp;"'!"&amp;D$4&amp;ROW()-46))="0",INDIRECT("'"&amp;D$6&amp;"'!"&amp;D$4&amp;ROW()-46)="",NOT(ISNUMBER(INDIRECT("'"&amp;D$6&amp;"'!"&amp;D$4&amp;ROW()-46)))),"-",INDIRECT("'"&amp;D$6&amp;"'!"&amp;D$4&amp;ROW()-46))</f>
        <v>-</v>
      </c>
      <c r="E197" s="120" t="str">
        <f ca="1" t="array" ref="E197">IF(OR(TRIM(INDIRECT("'"&amp;E$6&amp;"'!"&amp;E$4&amp;ROW()-46))="0",INDIRECT("'"&amp;E$6&amp;"'!"&amp;E$4&amp;ROW()-46)="",NOT(ISNUMBER(INDIRECT("'"&amp;E$6&amp;"'!"&amp;E$4&amp;ROW()-46)))),"-",INDIRECT("'"&amp;E$6&amp;"'!"&amp;E$4&amp;ROW()-46))</f>
        <v>-</v>
      </c>
      <c r="F197" s="120" t="str">
        <f ca="1" t="array" ref="F197">IF(OR(TRIM(INDIRECT("'"&amp;F$6&amp;"'!"&amp;F$4&amp;ROW()-46))="0",INDIRECT("'"&amp;F$6&amp;"'!"&amp;F$4&amp;ROW()-46)="",NOT(ISNUMBER(INDIRECT("'"&amp;F$6&amp;"'!"&amp;F$4&amp;ROW()-46)))),"-",INDIRECT("'"&amp;F$6&amp;"'!"&amp;F$4&amp;ROW()-46))</f>
        <v>-</v>
      </c>
      <c r="G197" s="120" t="str">
        <f ca="1" t="array" ref="G197">IF(OR(TRIM(INDIRECT("'"&amp;G$6&amp;"'!"&amp;G$4&amp;ROW()-46))="0",INDIRECT("'"&amp;G$6&amp;"'!"&amp;G$4&amp;ROW()-46)="",NOT(ISNUMBER(INDIRECT("'"&amp;G$6&amp;"'!"&amp;G$4&amp;ROW()-46)))),"-",INDIRECT("'"&amp;G$6&amp;"'!"&amp;G$4&amp;ROW()-46))</f>
        <v>-</v>
      </c>
      <c r="H197" s="120" t="str">
        <f ca="1" t="array" ref="H197">IF(OR(TRIM(INDIRECT("'"&amp;H$6&amp;"'!"&amp;H$4&amp;ROW()-46))="0",INDIRECT("'"&amp;H$6&amp;"'!"&amp;H$4&amp;ROW()-46)="",NOT(ISNUMBER(INDIRECT("'"&amp;H$6&amp;"'!"&amp;H$4&amp;ROW()-46)))),"-",INDIRECT("'"&amp;H$6&amp;"'!"&amp;H$4&amp;ROW()-46))</f>
        <v>-</v>
      </c>
      <c r="I197" s="120" t="str">
        <f ca="1" t="array" ref="I197">IF(OR(TRIM(INDIRECT("'"&amp;I$6&amp;"'!"&amp;I$4&amp;ROW()-46))="0",INDIRECT("'"&amp;I$6&amp;"'!"&amp;I$4&amp;ROW()-46)="",NOT(ISNUMBER(INDIRECT("'"&amp;I$6&amp;"'!"&amp;I$4&amp;ROW()-46)))),"-",INDIRECT("'"&amp;I$6&amp;"'!"&amp;I$4&amp;ROW()-46))</f>
        <v>-</v>
      </c>
      <c r="J197" s="120" t="str">
        <f ca="1" t="array" ref="J197">IF(OR(TRIM(INDIRECT("'"&amp;J$6&amp;"'!"&amp;J$4&amp;ROW()-46))="0",INDIRECT("'"&amp;J$6&amp;"'!"&amp;J$4&amp;ROW()-46)="",NOT(ISNUMBER(INDIRECT("'"&amp;J$6&amp;"'!"&amp;J$4&amp;ROW()-46)))),"-",INDIRECT("'"&amp;J$6&amp;"'!"&amp;J$4&amp;ROW()-46))</f>
        <v>-</v>
      </c>
      <c r="K197" s="120" t="str">
        <f ca="1" t="array" ref="K197">IF(OR(TRIM(INDIRECT("'"&amp;K$6&amp;"'!"&amp;K$4&amp;ROW()-46))="0",INDIRECT("'"&amp;K$6&amp;"'!"&amp;K$4&amp;ROW()-46)="",NOT(ISNUMBER(INDIRECT("'"&amp;K$6&amp;"'!"&amp;K$4&amp;ROW()-46)))),"-",INDIRECT("'"&amp;K$6&amp;"'!"&amp;K$4&amp;ROW()-46))</f>
        <v>-</v>
      </c>
      <c r="L197" s="120" t="str">
        <f ca="1" t="array" ref="L197">IF(OR(TRIM(INDIRECT("'"&amp;L$6&amp;"'!"&amp;L$4&amp;ROW()-46))="0",INDIRECT("'"&amp;L$6&amp;"'!"&amp;L$4&amp;ROW()-46)="",NOT(ISNUMBER(INDIRECT("'"&amp;L$6&amp;"'!"&amp;L$4&amp;ROW()-46)))),"-",INDIRECT("'"&amp;L$6&amp;"'!"&amp;L$4&amp;ROW()-46))</f>
        <v>-</v>
      </c>
      <c r="M197" s="120" t="str">
        <f ca="1" t="array" ref="M197">IF(OR(TRIM(INDIRECT("'"&amp;M$6&amp;"'!"&amp;M$4&amp;ROW()-46))="0",INDIRECT("'"&amp;M$6&amp;"'!"&amp;M$4&amp;ROW()-46)="",NOT(ISNUMBER(INDIRECT("'"&amp;M$6&amp;"'!"&amp;M$4&amp;ROW()-46)))),"-",INDIRECT("'"&amp;M$6&amp;"'!"&amp;M$4&amp;ROW()-46))</f>
        <v>-</v>
      </c>
      <c r="N197" s="31">
        <f ca="1" t="shared" si="69"/>
        <v>0</v>
      </c>
      <c r="O197" s="31">
        <f ca="1" t="shared" si="70"/>
        <v>0</v>
      </c>
    </row>
    <row r="198" s="66" customFormat="1" ht="15" customHeight="1" spans="1:15">
      <c r="A198" s="13" t="str">
        <f>'Section-Category'!A163</f>
        <v>Rental Car</v>
      </c>
      <c r="B198" s="120" t="str">
        <f ca="1" t="array" ref="B198">IF(OR(TRIM(INDIRECT("'"&amp;B$6&amp;"'!"&amp;B$4&amp;ROW()-46))="0",INDIRECT("'"&amp;B$6&amp;"'!"&amp;B$4&amp;ROW()-46)="",NOT(ISNUMBER(INDIRECT("'"&amp;B$6&amp;"'!"&amp;B$4&amp;ROW()-46)))),"-",INDIRECT("'"&amp;B$6&amp;"'!"&amp;B$4&amp;ROW()-46))</f>
        <v>-</v>
      </c>
      <c r="C198" s="120" t="str">
        <f ca="1" t="array" ref="C198">IF(OR(TRIM(INDIRECT("'"&amp;C$6&amp;"'!"&amp;C$4&amp;ROW()-46))="0",INDIRECT("'"&amp;C$6&amp;"'!"&amp;C$4&amp;ROW()-46)="",NOT(ISNUMBER(INDIRECT("'"&amp;C$6&amp;"'!"&amp;C$4&amp;ROW()-46)))),"-",INDIRECT("'"&amp;C$6&amp;"'!"&amp;C$4&amp;ROW()-46))</f>
        <v>-</v>
      </c>
      <c r="D198" s="120" t="str">
        <f ca="1" t="array" ref="D198">IF(OR(TRIM(INDIRECT("'"&amp;D$6&amp;"'!"&amp;D$4&amp;ROW()-46))="0",INDIRECT("'"&amp;D$6&amp;"'!"&amp;D$4&amp;ROW()-46)="",NOT(ISNUMBER(INDIRECT("'"&amp;D$6&amp;"'!"&amp;D$4&amp;ROW()-46)))),"-",INDIRECT("'"&amp;D$6&amp;"'!"&amp;D$4&amp;ROW()-46))</f>
        <v>-</v>
      </c>
      <c r="E198" s="120" t="str">
        <f ca="1" t="array" ref="E198">IF(OR(TRIM(INDIRECT("'"&amp;E$6&amp;"'!"&amp;E$4&amp;ROW()-46))="0",INDIRECT("'"&amp;E$6&amp;"'!"&amp;E$4&amp;ROW()-46)="",NOT(ISNUMBER(INDIRECT("'"&amp;E$6&amp;"'!"&amp;E$4&amp;ROW()-46)))),"-",INDIRECT("'"&amp;E$6&amp;"'!"&amp;E$4&amp;ROW()-46))</f>
        <v>-</v>
      </c>
      <c r="F198" s="120" t="str">
        <f ca="1" t="array" ref="F198">IF(OR(TRIM(INDIRECT("'"&amp;F$6&amp;"'!"&amp;F$4&amp;ROW()-46))="0",INDIRECT("'"&amp;F$6&amp;"'!"&amp;F$4&amp;ROW()-46)="",NOT(ISNUMBER(INDIRECT("'"&amp;F$6&amp;"'!"&amp;F$4&amp;ROW()-46)))),"-",INDIRECT("'"&amp;F$6&amp;"'!"&amp;F$4&amp;ROW()-46))</f>
        <v>-</v>
      </c>
      <c r="G198" s="120" t="str">
        <f ca="1" t="array" ref="G198">IF(OR(TRIM(INDIRECT("'"&amp;G$6&amp;"'!"&amp;G$4&amp;ROW()-46))="0",INDIRECT("'"&amp;G$6&amp;"'!"&amp;G$4&amp;ROW()-46)="",NOT(ISNUMBER(INDIRECT("'"&amp;G$6&amp;"'!"&amp;G$4&amp;ROW()-46)))),"-",INDIRECT("'"&amp;G$6&amp;"'!"&amp;G$4&amp;ROW()-46))</f>
        <v>-</v>
      </c>
      <c r="H198" s="120" t="str">
        <f ca="1" t="array" ref="H198">IF(OR(TRIM(INDIRECT("'"&amp;H$6&amp;"'!"&amp;H$4&amp;ROW()-46))="0",INDIRECT("'"&amp;H$6&amp;"'!"&amp;H$4&amp;ROW()-46)="",NOT(ISNUMBER(INDIRECT("'"&amp;H$6&amp;"'!"&amp;H$4&amp;ROW()-46)))),"-",INDIRECT("'"&amp;H$6&amp;"'!"&amp;H$4&amp;ROW()-46))</f>
        <v>-</v>
      </c>
      <c r="I198" s="120" t="str">
        <f ca="1" t="array" ref="I198">IF(OR(TRIM(INDIRECT("'"&amp;I$6&amp;"'!"&amp;I$4&amp;ROW()-46))="0",INDIRECT("'"&amp;I$6&amp;"'!"&amp;I$4&amp;ROW()-46)="",NOT(ISNUMBER(INDIRECT("'"&amp;I$6&amp;"'!"&amp;I$4&amp;ROW()-46)))),"-",INDIRECT("'"&amp;I$6&amp;"'!"&amp;I$4&amp;ROW()-46))</f>
        <v>-</v>
      </c>
      <c r="J198" s="120" t="str">
        <f ca="1" t="array" ref="J198">IF(OR(TRIM(INDIRECT("'"&amp;J$6&amp;"'!"&amp;J$4&amp;ROW()-46))="0",INDIRECT("'"&amp;J$6&amp;"'!"&amp;J$4&amp;ROW()-46)="",NOT(ISNUMBER(INDIRECT("'"&amp;J$6&amp;"'!"&amp;J$4&amp;ROW()-46)))),"-",INDIRECT("'"&amp;J$6&amp;"'!"&amp;J$4&amp;ROW()-46))</f>
        <v>-</v>
      </c>
      <c r="K198" s="120" t="str">
        <f ca="1" t="array" ref="K198">IF(OR(TRIM(INDIRECT("'"&amp;K$6&amp;"'!"&amp;K$4&amp;ROW()-46))="0",INDIRECT("'"&amp;K$6&amp;"'!"&amp;K$4&amp;ROW()-46)="",NOT(ISNUMBER(INDIRECT("'"&amp;K$6&amp;"'!"&amp;K$4&amp;ROW()-46)))),"-",INDIRECT("'"&amp;K$6&amp;"'!"&amp;K$4&amp;ROW()-46))</f>
        <v>-</v>
      </c>
      <c r="L198" s="120" t="str">
        <f ca="1" t="array" ref="L198">IF(OR(TRIM(INDIRECT("'"&amp;L$6&amp;"'!"&amp;L$4&amp;ROW()-46))="0",INDIRECT("'"&amp;L$6&amp;"'!"&amp;L$4&amp;ROW()-46)="",NOT(ISNUMBER(INDIRECT("'"&amp;L$6&amp;"'!"&amp;L$4&amp;ROW()-46)))),"-",INDIRECT("'"&amp;L$6&amp;"'!"&amp;L$4&amp;ROW()-46))</f>
        <v>-</v>
      </c>
      <c r="M198" s="120" t="str">
        <f ca="1" t="array" ref="M198">IF(OR(TRIM(INDIRECT("'"&amp;M$6&amp;"'!"&amp;M$4&amp;ROW()-46))="0",INDIRECT("'"&amp;M$6&amp;"'!"&amp;M$4&amp;ROW()-46)="",NOT(ISNUMBER(INDIRECT("'"&amp;M$6&amp;"'!"&amp;M$4&amp;ROW()-46)))),"-",INDIRECT("'"&amp;M$6&amp;"'!"&amp;M$4&amp;ROW()-46))</f>
        <v>-</v>
      </c>
      <c r="N198" s="31">
        <f ca="1" t="shared" si="69"/>
        <v>0</v>
      </c>
      <c r="O198" s="31">
        <f ca="1" t="shared" si="70"/>
        <v>0</v>
      </c>
    </row>
    <row r="199" s="66" customFormat="1" ht="15" customHeight="1" spans="1:15">
      <c r="A199" s="13" t="str">
        <f>'Section-Category'!A164</f>
        <v>Entertainment</v>
      </c>
      <c r="B199" s="120" t="str">
        <f ca="1" t="array" ref="B199">IF(OR(TRIM(INDIRECT("'"&amp;B$6&amp;"'!"&amp;B$4&amp;ROW()-46))="0",INDIRECT("'"&amp;B$6&amp;"'!"&amp;B$4&amp;ROW()-46)="",NOT(ISNUMBER(INDIRECT("'"&amp;B$6&amp;"'!"&amp;B$4&amp;ROW()-46)))),"-",INDIRECT("'"&amp;B$6&amp;"'!"&amp;B$4&amp;ROW()-46))</f>
        <v>-</v>
      </c>
      <c r="C199" s="120" t="str">
        <f ca="1" t="array" ref="C199">IF(OR(TRIM(INDIRECT("'"&amp;C$6&amp;"'!"&amp;C$4&amp;ROW()-46))="0",INDIRECT("'"&amp;C$6&amp;"'!"&amp;C$4&amp;ROW()-46)="",NOT(ISNUMBER(INDIRECT("'"&amp;C$6&amp;"'!"&amp;C$4&amp;ROW()-46)))),"-",INDIRECT("'"&amp;C$6&amp;"'!"&amp;C$4&amp;ROW()-46))</f>
        <v>-</v>
      </c>
      <c r="D199" s="120" t="str">
        <f ca="1" t="array" ref="D199">IF(OR(TRIM(INDIRECT("'"&amp;D$6&amp;"'!"&amp;D$4&amp;ROW()-46))="0",INDIRECT("'"&amp;D$6&amp;"'!"&amp;D$4&amp;ROW()-46)="",NOT(ISNUMBER(INDIRECT("'"&amp;D$6&amp;"'!"&amp;D$4&amp;ROW()-46)))),"-",INDIRECT("'"&amp;D$6&amp;"'!"&amp;D$4&amp;ROW()-46))</f>
        <v>-</v>
      </c>
      <c r="E199" s="120" t="str">
        <f ca="1" t="array" ref="E199">IF(OR(TRIM(INDIRECT("'"&amp;E$6&amp;"'!"&amp;E$4&amp;ROW()-46))="0",INDIRECT("'"&amp;E$6&amp;"'!"&amp;E$4&amp;ROW()-46)="",NOT(ISNUMBER(INDIRECT("'"&amp;E$6&amp;"'!"&amp;E$4&amp;ROW()-46)))),"-",INDIRECT("'"&amp;E$6&amp;"'!"&amp;E$4&amp;ROW()-46))</f>
        <v>-</v>
      </c>
      <c r="F199" s="120" t="str">
        <f ca="1" t="array" ref="F199">IF(OR(TRIM(INDIRECT("'"&amp;F$6&amp;"'!"&amp;F$4&amp;ROW()-46))="0",INDIRECT("'"&amp;F$6&amp;"'!"&amp;F$4&amp;ROW()-46)="",NOT(ISNUMBER(INDIRECT("'"&amp;F$6&amp;"'!"&amp;F$4&amp;ROW()-46)))),"-",INDIRECT("'"&amp;F$6&amp;"'!"&amp;F$4&amp;ROW()-46))</f>
        <v>-</v>
      </c>
      <c r="G199" s="120" t="str">
        <f ca="1" t="array" ref="G199">IF(OR(TRIM(INDIRECT("'"&amp;G$6&amp;"'!"&amp;G$4&amp;ROW()-46))="0",INDIRECT("'"&amp;G$6&amp;"'!"&amp;G$4&amp;ROW()-46)="",NOT(ISNUMBER(INDIRECT("'"&amp;G$6&amp;"'!"&amp;G$4&amp;ROW()-46)))),"-",INDIRECT("'"&amp;G$6&amp;"'!"&amp;G$4&amp;ROW()-46))</f>
        <v>-</v>
      </c>
      <c r="H199" s="120" t="str">
        <f ca="1" t="array" ref="H199">IF(OR(TRIM(INDIRECT("'"&amp;H$6&amp;"'!"&amp;H$4&amp;ROW()-46))="0",INDIRECT("'"&amp;H$6&amp;"'!"&amp;H$4&amp;ROW()-46)="",NOT(ISNUMBER(INDIRECT("'"&amp;H$6&amp;"'!"&amp;H$4&amp;ROW()-46)))),"-",INDIRECT("'"&amp;H$6&amp;"'!"&amp;H$4&amp;ROW()-46))</f>
        <v>-</v>
      </c>
      <c r="I199" s="120" t="str">
        <f ca="1" t="array" ref="I199">IF(OR(TRIM(INDIRECT("'"&amp;I$6&amp;"'!"&amp;I$4&amp;ROW()-46))="0",INDIRECT("'"&amp;I$6&amp;"'!"&amp;I$4&amp;ROW()-46)="",NOT(ISNUMBER(INDIRECT("'"&amp;I$6&amp;"'!"&amp;I$4&amp;ROW()-46)))),"-",INDIRECT("'"&amp;I$6&amp;"'!"&amp;I$4&amp;ROW()-46))</f>
        <v>-</v>
      </c>
      <c r="J199" s="120" t="str">
        <f ca="1" t="array" ref="J199">IF(OR(TRIM(INDIRECT("'"&amp;J$6&amp;"'!"&amp;J$4&amp;ROW()-46))="0",INDIRECT("'"&amp;J$6&amp;"'!"&amp;J$4&amp;ROW()-46)="",NOT(ISNUMBER(INDIRECT("'"&amp;J$6&amp;"'!"&amp;J$4&amp;ROW()-46)))),"-",INDIRECT("'"&amp;J$6&amp;"'!"&amp;J$4&amp;ROW()-46))</f>
        <v>-</v>
      </c>
      <c r="K199" s="120" t="str">
        <f ca="1" t="array" ref="K199">IF(OR(TRIM(INDIRECT("'"&amp;K$6&amp;"'!"&amp;K$4&amp;ROW()-46))="0",INDIRECT("'"&amp;K$6&amp;"'!"&amp;K$4&amp;ROW()-46)="",NOT(ISNUMBER(INDIRECT("'"&amp;K$6&amp;"'!"&amp;K$4&amp;ROW()-46)))),"-",INDIRECT("'"&amp;K$6&amp;"'!"&amp;K$4&amp;ROW()-46))</f>
        <v>-</v>
      </c>
      <c r="L199" s="120" t="str">
        <f ca="1" t="array" ref="L199">IF(OR(TRIM(INDIRECT("'"&amp;L$6&amp;"'!"&amp;L$4&amp;ROW()-46))="0",INDIRECT("'"&amp;L$6&amp;"'!"&amp;L$4&amp;ROW()-46)="",NOT(ISNUMBER(INDIRECT("'"&amp;L$6&amp;"'!"&amp;L$4&amp;ROW()-46)))),"-",INDIRECT("'"&amp;L$6&amp;"'!"&amp;L$4&amp;ROW()-46))</f>
        <v>-</v>
      </c>
      <c r="M199" s="120" t="str">
        <f ca="1" t="array" ref="M199">IF(OR(TRIM(INDIRECT("'"&amp;M$6&amp;"'!"&amp;M$4&amp;ROW()-46))="0",INDIRECT("'"&amp;M$6&amp;"'!"&amp;M$4&amp;ROW()-46)="",NOT(ISNUMBER(INDIRECT("'"&amp;M$6&amp;"'!"&amp;M$4&amp;ROW()-46)))),"-",INDIRECT("'"&amp;M$6&amp;"'!"&amp;M$4&amp;ROW()-46))</f>
        <v>-</v>
      </c>
      <c r="N199" s="31">
        <f ca="1" t="shared" si="69"/>
        <v>0</v>
      </c>
      <c r="O199" s="31">
        <f ca="1" t="shared" si="70"/>
        <v>0</v>
      </c>
    </row>
    <row r="200" s="66" customFormat="1" ht="15.75" customHeight="1" spans="1:15">
      <c r="A200" s="13" t="str">
        <f>'Section-Category'!A165</f>
        <v>Other</v>
      </c>
      <c r="B200" s="120" t="str">
        <f ca="1" t="array" ref="B200">IF(OR(TRIM(INDIRECT("'"&amp;B$6&amp;"'!"&amp;B$4&amp;ROW()-46))="0",INDIRECT("'"&amp;B$6&amp;"'!"&amp;B$4&amp;ROW()-46)="",NOT(ISNUMBER(INDIRECT("'"&amp;B$6&amp;"'!"&amp;B$4&amp;ROW()-46)))),"-",INDIRECT("'"&amp;B$6&amp;"'!"&amp;B$4&amp;ROW()-46))</f>
        <v>-</v>
      </c>
      <c r="C200" s="120" t="str">
        <f ca="1" t="array" ref="C200">IF(OR(TRIM(INDIRECT("'"&amp;C$6&amp;"'!"&amp;C$4&amp;ROW()-46))="0",INDIRECT("'"&amp;C$6&amp;"'!"&amp;C$4&amp;ROW()-46)="",NOT(ISNUMBER(INDIRECT("'"&amp;C$6&amp;"'!"&amp;C$4&amp;ROW()-46)))),"-",INDIRECT("'"&amp;C$6&amp;"'!"&amp;C$4&amp;ROW()-46))</f>
        <v>-</v>
      </c>
      <c r="D200" s="120" t="str">
        <f ca="1" t="array" ref="D200">IF(OR(TRIM(INDIRECT("'"&amp;D$6&amp;"'!"&amp;D$4&amp;ROW()-46))="0",INDIRECT("'"&amp;D$6&amp;"'!"&amp;D$4&amp;ROW()-46)="",NOT(ISNUMBER(INDIRECT("'"&amp;D$6&amp;"'!"&amp;D$4&amp;ROW()-46)))),"-",INDIRECT("'"&amp;D$6&amp;"'!"&amp;D$4&amp;ROW()-46))</f>
        <v>-</v>
      </c>
      <c r="E200" s="120" t="str">
        <f ca="1" t="array" ref="E200">IF(OR(TRIM(INDIRECT("'"&amp;E$6&amp;"'!"&amp;E$4&amp;ROW()-46))="0",INDIRECT("'"&amp;E$6&amp;"'!"&amp;E$4&amp;ROW()-46)="",NOT(ISNUMBER(INDIRECT("'"&amp;E$6&amp;"'!"&amp;E$4&amp;ROW()-46)))),"-",INDIRECT("'"&amp;E$6&amp;"'!"&amp;E$4&amp;ROW()-46))</f>
        <v>-</v>
      </c>
      <c r="F200" s="120" t="str">
        <f ca="1" t="array" ref="F200">IF(OR(TRIM(INDIRECT("'"&amp;F$6&amp;"'!"&amp;F$4&amp;ROW()-46))="0",INDIRECT("'"&amp;F$6&amp;"'!"&amp;F$4&amp;ROW()-46)="",NOT(ISNUMBER(INDIRECT("'"&amp;F$6&amp;"'!"&amp;F$4&amp;ROW()-46)))),"-",INDIRECT("'"&amp;F$6&amp;"'!"&amp;F$4&amp;ROW()-46))</f>
        <v>-</v>
      </c>
      <c r="G200" s="120" t="str">
        <f ca="1" t="array" ref="G200">IF(OR(TRIM(INDIRECT("'"&amp;G$6&amp;"'!"&amp;G$4&amp;ROW()-46))="0",INDIRECT("'"&amp;G$6&amp;"'!"&amp;G$4&amp;ROW()-46)="",NOT(ISNUMBER(INDIRECT("'"&amp;G$6&amp;"'!"&amp;G$4&amp;ROW()-46)))),"-",INDIRECT("'"&amp;G$6&amp;"'!"&amp;G$4&amp;ROW()-46))</f>
        <v>-</v>
      </c>
      <c r="H200" s="120" t="str">
        <f ca="1" t="array" ref="H200">IF(OR(TRIM(INDIRECT("'"&amp;H$6&amp;"'!"&amp;H$4&amp;ROW()-46))="0",INDIRECT("'"&amp;H$6&amp;"'!"&amp;H$4&amp;ROW()-46)="",NOT(ISNUMBER(INDIRECT("'"&amp;H$6&amp;"'!"&amp;H$4&amp;ROW()-46)))),"-",INDIRECT("'"&amp;H$6&amp;"'!"&amp;H$4&amp;ROW()-46))</f>
        <v>-</v>
      </c>
      <c r="I200" s="120" t="str">
        <f ca="1" t="array" ref="I200">IF(OR(TRIM(INDIRECT("'"&amp;I$6&amp;"'!"&amp;I$4&amp;ROW()-46))="0",INDIRECT("'"&amp;I$6&amp;"'!"&amp;I$4&amp;ROW()-46)="",NOT(ISNUMBER(INDIRECT("'"&amp;I$6&amp;"'!"&amp;I$4&amp;ROW()-46)))),"-",INDIRECT("'"&amp;I$6&amp;"'!"&amp;I$4&amp;ROW()-46))</f>
        <v>-</v>
      </c>
      <c r="J200" s="120" t="str">
        <f ca="1" t="array" ref="J200">IF(OR(TRIM(INDIRECT("'"&amp;J$6&amp;"'!"&amp;J$4&amp;ROW()-46))="0",INDIRECT("'"&amp;J$6&amp;"'!"&amp;J$4&amp;ROW()-46)="",NOT(ISNUMBER(INDIRECT("'"&amp;J$6&amp;"'!"&amp;J$4&amp;ROW()-46)))),"-",INDIRECT("'"&amp;J$6&amp;"'!"&amp;J$4&amp;ROW()-46))</f>
        <v>-</v>
      </c>
      <c r="K200" s="120" t="str">
        <f ca="1" t="array" ref="K200">IF(OR(TRIM(INDIRECT("'"&amp;K$6&amp;"'!"&amp;K$4&amp;ROW()-46))="0",INDIRECT("'"&amp;K$6&amp;"'!"&amp;K$4&amp;ROW()-46)="",NOT(ISNUMBER(INDIRECT("'"&amp;K$6&amp;"'!"&amp;K$4&amp;ROW()-46)))),"-",INDIRECT("'"&amp;K$6&amp;"'!"&amp;K$4&amp;ROW()-46))</f>
        <v>-</v>
      </c>
      <c r="L200" s="120" t="str">
        <f ca="1" t="array" ref="L200">IF(OR(TRIM(INDIRECT("'"&amp;L$6&amp;"'!"&amp;L$4&amp;ROW()-46))="0",INDIRECT("'"&amp;L$6&amp;"'!"&amp;L$4&amp;ROW()-46)="",NOT(ISNUMBER(INDIRECT("'"&amp;L$6&amp;"'!"&amp;L$4&amp;ROW()-46)))),"-",INDIRECT("'"&amp;L$6&amp;"'!"&amp;L$4&amp;ROW()-46))</f>
        <v>-</v>
      </c>
      <c r="M200" s="120" t="str">
        <f ca="1" t="array" ref="M200">IF(OR(TRIM(INDIRECT("'"&amp;M$6&amp;"'!"&amp;M$4&amp;ROW()-46))="0",INDIRECT("'"&amp;M$6&amp;"'!"&amp;M$4&amp;ROW()-46)="",NOT(ISNUMBER(INDIRECT("'"&amp;M$6&amp;"'!"&amp;M$4&amp;ROW()-46)))),"-",INDIRECT("'"&amp;M$6&amp;"'!"&amp;M$4&amp;ROW()-46))</f>
        <v>-</v>
      </c>
      <c r="N200" s="31">
        <f ca="1" t="shared" si="69"/>
        <v>0</v>
      </c>
      <c r="O200" s="31">
        <f ca="1" t="shared" si="70"/>
        <v>0</v>
      </c>
    </row>
    <row r="201" s="66" customFormat="1" ht="15" customHeight="1" spans="1:15">
      <c r="A201" s="10" t="str">
        <f>'Section-Category'!A166</f>
        <v>Total VACATION</v>
      </c>
      <c r="B201" s="123">
        <f ca="1" t="shared" ref="B201:O201" si="71">SUM(B195:B200)</f>
        <v>0</v>
      </c>
      <c r="C201" s="123">
        <f ca="1" t="shared" si="71"/>
        <v>0</v>
      </c>
      <c r="D201" s="123">
        <f ca="1" t="shared" si="71"/>
        <v>0</v>
      </c>
      <c r="E201" s="123">
        <f ca="1" t="shared" si="71"/>
        <v>0</v>
      </c>
      <c r="F201" s="123">
        <f ca="1" t="shared" si="71"/>
        <v>0</v>
      </c>
      <c r="G201" s="123">
        <f ca="1" t="shared" si="71"/>
        <v>0</v>
      </c>
      <c r="H201" s="123">
        <f ca="1" t="shared" si="71"/>
        <v>0</v>
      </c>
      <c r="I201" s="123">
        <f ca="1" t="shared" si="71"/>
        <v>0</v>
      </c>
      <c r="J201" s="123">
        <f ca="1" t="shared" si="71"/>
        <v>0</v>
      </c>
      <c r="K201" s="123">
        <f ca="1" t="shared" si="71"/>
        <v>0</v>
      </c>
      <c r="L201" s="123">
        <f ca="1" t="shared" si="71"/>
        <v>0</v>
      </c>
      <c r="M201" s="123">
        <f ca="1" t="shared" si="71"/>
        <v>0</v>
      </c>
      <c r="N201" s="39">
        <f ca="1" t="shared" si="71"/>
        <v>0</v>
      </c>
      <c r="O201" s="39">
        <f ca="1" t="shared" si="71"/>
        <v>0</v>
      </c>
    </row>
    <row r="202" s="66" customFormat="1" ht="13.5" customHeight="1" spans="1:15">
      <c r="A202" s="11" t="str">
        <f>'Section-Category'!A167</f>
        <v>% of Total Expenses</v>
      </c>
      <c r="B202" s="124" t="str">
        <f ca="1" t="shared" ref="B202:O202" si="72">IF(B$17=0," - ",B201/B$17)</f>
        <v> - </v>
      </c>
      <c r="C202" s="124" t="str">
        <f ca="1" t="shared" si="72"/>
        <v> - </v>
      </c>
      <c r="D202" s="124" t="str">
        <f ca="1" t="shared" si="72"/>
        <v> - </v>
      </c>
      <c r="E202" s="124" t="str">
        <f ca="1" t="shared" si="72"/>
        <v> - </v>
      </c>
      <c r="F202" s="124" t="str">
        <f ca="1" t="shared" si="72"/>
        <v> - </v>
      </c>
      <c r="G202" s="124" t="str">
        <f ca="1" t="shared" si="72"/>
        <v> - </v>
      </c>
      <c r="H202" s="124" t="str">
        <f ca="1" t="shared" si="72"/>
        <v> - </v>
      </c>
      <c r="I202" s="124" t="str">
        <f ca="1" t="shared" si="72"/>
        <v> - </v>
      </c>
      <c r="J202" s="124" t="str">
        <f ca="1" t="shared" si="72"/>
        <v> - </v>
      </c>
      <c r="K202" s="124" t="str">
        <f ca="1" t="shared" si="72"/>
        <v> - </v>
      </c>
      <c r="L202" s="124" t="str">
        <f ca="1" t="shared" si="72"/>
        <v> - </v>
      </c>
      <c r="M202" s="124" t="str">
        <f ca="1" t="shared" si="72"/>
        <v> - </v>
      </c>
      <c r="N202" s="125" t="str">
        <f ca="1" t="shared" si="72"/>
        <v> - </v>
      </c>
      <c r="O202" s="125" t="str">
        <f ca="1" t="shared" si="72"/>
        <v> - </v>
      </c>
    </row>
    <row r="203" s="66" customFormat="1" ht="13.5" customHeight="1" spans="1:15">
      <c r="A203" s="18">
        <f>'Section-Category'!A168</f>
        <v>0</v>
      </c>
      <c r="B203" s="28"/>
      <c r="C203" s="28"/>
      <c r="D203" s="28"/>
      <c r="E203" s="28"/>
      <c r="F203" s="28"/>
      <c r="G203" s="28"/>
      <c r="H203" s="28"/>
      <c r="I203" s="28"/>
      <c r="J203" s="28"/>
      <c r="K203" s="28"/>
      <c r="L203" s="28"/>
      <c r="M203" s="28"/>
      <c r="N203" s="28"/>
      <c r="O203" s="28"/>
    </row>
    <row r="204" spans="1:15">
      <c r="A204" s="12" t="str">
        <f>'Section-Category'!A169</f>
        <v>MISCELLANEOUS</v>
      </c>
      <c r="B204" s="40" t="str">
        <f t="shared" ref="B204:M204" si="73">B$6</f>
        <v>Jan</v>
      </c>
      <c r="C204" s="40" t="str">
        <f t="shared" si="73"/>
        <v>Feb</v>
      </c>
      <c r="D204" s="40" t="str">
        <f t="shared" si="73"/>
        <v>Mar</v>
      </c>
      <c r="E204" s="40" t="str">
        <f t="shared" si="73"/>
        <v>Apr</v>
      </c>
      <c r="F204" s="40" t="str">
        <f t="shared" si="73"/>
        <v>May</v>
      </c>
      <c r="G204" s="40" t="str">
        <f t="shared" si="73"/>
        <v>Jun</v>
      </c>
      <c r="H204" s="40" t="str">
        <f t="shared" si="73"/>
        <v>Jul</v>
      </c>
      <c r="I204" s="40" t="str">
        <f t="shared" si="73"/>
        <v>Aug</v>
      </c>
      <c r="J204" s="40" t="str">
        <f t="shared" si="73"/>
        <v>Sep</v>
      </c>
      <c r="K204" s="40" t="str">
        <f t="shared" si="73"/>
        <v>Oct</v>
      </c>
      <c r="L204" s="40" t="str">
        <f t="shared" si="73"/>
        <v>Nov</v>
      </c>
      <c r="M204" s="40" t="str">
        <f t="shared" si="73"/>
        <v>Dec</v>
      </c>
      <c r="N204" s="40" t="s">
        <v>34</v>
      </c>
      <c r="O204" s="40" t="s">
        <v>35</v>
      </c>
    </row>
    <row r="205" s="66" customFormat="1" ht="15" customHeight="1" spans="1:15">
      <c r="A205" s="13" t="str">
        <f>'Section-Category'!A170</f>
        <v>Bank Fees</v>
      </c>
      <c r="B205" s="120" t="str">
        <f ca="1" t="array" ref="B205">IF(OR(TRIM(INDIRECT("'"&amp;B$6&amp;"'!"&amp;B$4&amp;ROW()-47))="0",INDIRECT("'"&amp;B$6&amp;"'!"&amp;B$4&amp;ROW()-47)="",NOT(ISNUMBER(INDIRECT("'"&amp;B$6&amp;"'!"&amp;B$4&amp;ROW()-47)))),"-",INDIRECT("'"&amp;B$6&amp;"'!"&amp;B$4&amp;ROW()-47))</f>
        <v>-</v>
      </c>
      <c r="C205" s="120" t="str">
        <f ca="1" t="array" ref="C205">IF(OR(TRIM(INDIRECT("'"&amp;C$6&amp;"'!"&amp;C$4&amp;ROW()-47))="0",INDIRECT("'"&amp;C$6&amp;"'!"&amp;C$4&amp;ROW()-47)="",NOT(ISNUMBER(INDIRECT("'"&amp;C$6&amp;"'!"&amp;C$4&amp;ROW()-47)))),"-",INDIRECT("'"&amp;C$6&amp;"'!"&amp;C$4&amp;ROW()-47))</f>
        <v>-</v>
      </c>
      <c r="D205" s="120" t="str">
        <f ca="1" t="array" ref="D205">IF(OR(TRIM(INDIRECT("'"&amp;D$6&amp;"'!"&amp;D$4&amp;ROW()-47))="0",INDIRECT("'"&amp;D$6&amp;"'!"&amp;D$4&amp;ROW()-47)="",NOT(ISNUMBER(INDIRECT("'"&amp;D$6&amp;"'!"&amp;D$4&amp;ROW()-47)))),"-",INDIRECT("'"&amp;D$6&amp;"'!"&amp;D$4&amp;ROW()-47))</f>
        <v>-</v>
      </c>
      <c r="E205" s="120" t="str">
        <f ca="1" t="array" ref="E205">IF(OR(TRIM(INDIRECT("'"&amp;E$6&amp;"'!"&amp;E$4&amp;ROW()-47))="0",INDIRECT("'"&amp;E$6&amp;"'!"&amp;E$4&amp;ROW()-47)="",NOT(ISNUMBER(INDIRECT("'"&amp;E$6&amp;"'!"&amp;E$4&amp;ROW()-47)))),"-",INDIRECT("'"&amp;E$6&amp;"'!"&amp;E$4&amp;ROW()-47))</f>
        <v>-</v>
      </c>
      <c r="F205" s="120" t="str">
        <f ca="1" t="array" ref="F205">IF(OR(TRIM(INDIRECT("'"&amp;F$6&amp;"'!"&amp;F$4&amp;ROW()-47))="0",INDIRECT("'"&amp;F$6&amp;"'!"&amp;F$4&amp;ROW()-47)="",NOT(ISNUMBER(INDIRECT("'"&amp;F$6&amp;"'!"&amp;F$4&amp;ROW()-47)))),"-",INDIRECT("'"&amp;F$6&amp;"'!"&amp;F$4&amp;ROW()-47))</f>
        <v>-</v>
      </c>
      <c r="G205" s="120" t="str">
        <f ca="1" t="array" ref="G205">IF(OR(TRIM(INDIRECT("'"&amp;G$6&amp;"'!"&amp;G$4&amp;ROW()-47))="0",INDIRECT("'"&amp;G$6&amp;"'!"&amp;G$4&amp;ROW()-47)="",NOT(ISNUMBER(INDIRECT("'"&amp;G$6&amp;"'!"&amp;G$4&amp;ROW()-47)))),"-",INDIRECT("'"&amp;G$6&amp;"'!"&amp;G$4&amp;ROW()-47))</f>
        <v>-</v>
      </c>
      <c r="H205" s="120" t="str">
        <f ca="1" t="array" ref="H205">IF(OR(TRIM(INDIRECT("'"&amp;H$6&amp;"'!"&amp;H$4&amp;ROW()-47))="0",INDIRECT("'"&amp;H$6&amp;"'!"&amp;H$4&amp;ROW()-47)="",NOT(ISNUMBER(INDIRECT("'"&amp;H$6&amp;"'!"&amp;H$4&amp;ROW()-47)))),"-",INDIRECT("'"&amp;H$6&amp;"'!"&amp;H$4&amp;ROW()-47))</f>
        <v>-</v>
      </c>
      <c r="I205" s="120" t="str">
        <f ca="1" t="array" ref="I205">IF(OR(TRIM(INDIRECT("'"&amp;I$6&amp;"'!"&amp;I$4&amp;ROW()-47))="0",INDIRECT("'"&amp;I$6&amp;"'!"&amp;I$4&amp;ROW()-47)="",NOT(ISNUMBER(INDIRECT("'"&amp;I$6&amp;"'!"&amp;I$4&amp;ROW()-47)))),"-",INDIRECT("'"&amp;I$6&amp;"'!"&amp;I$4&amp;ROW()-47))</f>
        <v>-</v>
      </c>
      <c r="J205" s="120" t="str">
        <f ca="1" t="array" ref="J205">IF(OR(TRIM(INDIRECT("'"&amp;J$6&amp;"'!"&amp;J$4&amp;ROW()-47))="0",INDIRECT("'"&amp;J$6&amp;"'!"&amp;J$4&amp;ROW()-47)="",NOT(ISNUMBER(INDIRECT("'"&amp;J$6&amp;"'!"&amp;J$4&amp;ROW()-47)))),"-",INDIRECT("'"&amp;J$6&amp;"'!"&amp;J$4&amp;ROW()-47))</f>
        <v>-</v>
      </c>
      <c r="K205" s="120" t="str">
        <f ca="1" t="array" ref="K205">IF(OR(TRIM(INDIRECT("'"&amp;K$6&amp;"'!"&amp;K$4&amp;ROW()-47))="0",INDIRECT("'"&amp;K$6&amp;"'!"&amp;K$4&amp;ROW()-47)="",NOT(ISNUMBER(INDIRECT("'"&amp;K$6&amp;"'!"&amp;K$4&amp;ROW()-47)))),"-",INDIRECT("'"&amp;K$6&amp;"'!"&amp;K$4&amp;ROW()-47))</f>
        <v>-</v>
      </c>
      <c r="L205" s="120" t="str">
        <f ca="1" t="array" ref="L205">IF(OR(TRIM(INDIRECT("'"&amp;L$6&amp;"'!"&amp;L$4&amp;ROW()-47))="0",INDIRECT("'"&amp;L$6&amp;"'!"&amp;L$4&amp;ROW()-47)="",NOT(ISNUMBER(INDIRECT("'"&amp;L$6&amp;"'!"&amp;L$4&amp;ROW()-47)))),"-",INDIRECT("'"&amp;L$6&amp;"'!"&amp;L$4&amp;ROW()-47))</f>
        <v>-</v>
      </c>
      <c r="M205" s="120" t="str">
        <f ca="1" t="array" ref="M205">IF(OR(TRIM(INDIRECT("'"&amp;M$6&amp;"'!"&amp;M$4&amp;ROW()-47))="0",INDIRECT("'"&amp;M$6&amp;"'!"&amp;M$4&amp;ROW()-47)="",NOT(ISNUMBER(INDIRECT("'"&amp;M$6&amp;"'!"&amp;M$4&amp;ROW()-47)))),"-",INDIRECT("'"&amp;M$6&amp;"'!"&amp;M$4&amp;ROW()-47))</f>
        <v>-</v>
      </c>
      <c r="N205" s="31">
        <f ca="1" t="shared" ref="N205:N209" si="74">SUM(B205:M205)</f>
        <v>0</v>
      </c>
      <c r="O205" s="31">
        <f ca="1" t="shared" ref="O205:O209" si="75">N205/COLUMNS(B205:M205)</f>
        <v>0</v>
      </c>
    </row>
    <row r="206" s="66" customFormat="1" ht="15" customHeight="1" spans="1:15">
      <c r="A206" s="13" t="str">
        <f>'Section-Category'!A171</f>
        <v>Postage</v>
      </c>
      <c r="B206" s="120" t="str">
        <f ca="1" t="array" ref="B206">IF(OR(TRIM(INDIRECT("'"&amp;B$6&amp;"'!"&amp;B$4&amp;ROW()-47))="0",INDIRECT("'"&amp;B$6&amp;"'!"&amp;B$4&amp;ROW()-47)="",NOT(ISNUMBER(INDIRECT("'"&amp;B$6&amp;"'!"&amp;B$4&amp;ROW()-47)))),"-",INDIRECT("'"&amp;B$6&amp;"'!"&amp;B$4&amp;ROW()-47))</f>
        <v>-</v>
      </c>
      <c r="C206" s="120" t="str">
        <f ca="1" t="array" ref="C206">IF(OR(TRIM(INDIRECT("'"&amp;C$6&amp;"'!"&amp;C$4&amp;ROW()-47))="0",INDIRECT("'"&amp;C$6&amp;"'!"&amp;C$4&amp;ROW()-47)="",NOT(ISNUMBER(INDIRECT("'"&amp;C$6&amp;"'!"&amp;C$4&amp;ROW()-47)))),"-",INDIRECT("'"&amp;C$6&amp;"'!"&amp;C$4&amp;ROW()-47))</f>
        <v>-</v>
      </c>
      <c r="D206" s="120" t="str">
        <f ca="1" t="array" ref="D206">IF(OR(TRIM(INDIRECT("'"&amp;D$6&amp;"'!"&amp;D$4&amp;ROW()-47))="0",INDIRECT("'"&amp;D$6&amp;"'!"&amp;D$4&amp;ROW()-47)="",NOT(ISNUMBER(INDIRECT("'"&amp;D$6&amp;"'!"&amp;D$4&amp;ROW()-47)))),"-",INDIRECT("'"&amp;D$6&amp;"'!"&amp;D$4&amp;ROW()-47))</f>
        <v>-</v>
      </c>
      <c r="E206" s="120" t="str">
        <f ca="1" t="array" ref="E206">IF(OR(TRIM(INDIRECT("'"&amp;E$6&amp;"'!"&amp;E$4&amp;ROW()-47))="0",INDIRECT("'"&amp;E$6&amp;"'!"&amp;E$4&amp;ROW()-47)="",NOT(ISNUMBER(INDIRECT("'"&amp;E$6&amp;"'!"&amp;E$4&amp;ROW()-47)))),"-",INDIRECT("'"&amp;E$6&amp;"'!"&amp;E$4&amp;ROW()-47))</f>
        <v>-</v>
      </c>
      <c r="F206" s="120" t="str">
        <f ca="1" t="array" ref="F206">IF(OR(TRIM(INDIRECT("'"&amp;F$6&amp;"'!"&amp;F$4&amp;ROW()-47))="0",INDIRECT("'"&amp;F$6&amp;"'!"&amp;F$4&amp;ROW()-47)="",NOT(ISNUMBER(INDIRECT("'"&amp;F$6&amp;"'!"&amp;F$4&amp;ROW()-47)))),"-",INDIRECT("'"&amp;F$6&amp;"'!"&amp;F$4&amp;ROW()-47))</f>
        <v>-</v>
      </c>
      <c r="G206" s="120" t="str">
        <f ca="1" t="array" ref="G206">IF(OR(TRIM(INDIRECT("'"&amp;G$6&amp;"'!"&amp;G$4&amp;ROW()-47))="0",INDIRECT("'"&amp;G$6&amp;"'!"&amp;G$4&amp;ROW()-47)="",NOT(ISNUMBER(INDIRECT("'"&amp;G$6&amp;"'!"&amp;G$4&amp;ROW()-47)))),"-",INDIRECT("'"&amp;G$6&amp;"'!"&amp;G$4&amp;ROW()-47))</f>
        <v>-</v>
      </c>
      <c r="H206" s="120" t="str">
        <f ca="1" t="array" ref="H206">IF(OR(TRIM(INDIRECT("'"&amp;H$6&amp;"'!"&amp;H$4&amp;ROW()-47))="0",INDIRECT("'"&amp;H$6&amp;"'!"&amp;H$4&amp;ROW()-47)="",NOT(ISNUMBER(INDIRECT("'"&amp;H$6&amp;"'!"&amp;H$4&amp;ROW()-47)))),"-",INDIRECT("'"&amp;H$6&amp;"'!"&amp;H$4&amp;ROW()-47))</f>
        <v>-</v>
      </c>
      <c r="I206" s="120" t="str">
        <f ca="1" t="array" ref="I206">IF(OR(TRIM(INDIRECT("'"&amp;I$6&amp;"'!"&amp;I$4&amp;ROW()-47))="0",INDIRECT("'"&amp;I$6&amp;"'!"&amp;I$4&amp;ROW()-47)="",NOT(ISNUMBER(INDIRECT("'"&amp;I$6&amp;"'!"&amp;I$4&amp;ROW()-47)))),"-",INDIRECT("'"&amp;I$6&amp;"'!"&amp;I$4&amp;ROW()-47))</f>
        <v>-</v>
      </c>
      <c r="J206" s="120" t="str">
        <f ca="1" t="array" ref="J206">IF(OR(TRIM(INDIRECT("'"&amp;J$6&amp;"'!"&amp;J$4&amp;ROW()-47))="0",INDIRECT("'"&amp;J$6&amp;"'!"&amp;J$4&amp;ROW()-47)="",NOT(ISNUMBER(INDIRECT("'"&amp;J$6&amp;"'!"&amp;J$4&amp;ROW()-47)))),"-",INDIRECT("'"&amp;J$6&amp;"'!"&amp;J$4&amp;ROW()-47))</f>
        <v>-</v>
      </c>
      <c r="K206" s="120" t="str">
        <f ca="1" t="array" ref="K206">IF(OR(TRIM(INDIRECT("'"&amp;K$6&amp;"'!"&amp;K$4&amp;ROW()-47))="0",INDIRECT("'"&amp;K$6&amp;"'!"&amp;K$4&amp;ROW()-47)="",NOT(ISNUMBER(INDIRECT("'"&amp;K$6&amp;"'!"&amp;K$4&amp;ROW()-47)))),"-",INDIRECT("'"&amp;K$6&amp;"'!"&amp;K$4&amp;ROW()-47))</f>
        <v>-</v>
      </c>
      <c r="L206" s="120" t="str">
        <f ca="1" t="array" ref="L206">IF(OR(TRIM(INDIRECT("'"&amp;L$6&amp;"'!"&amp;L$4&amp;ROW()-47))="0",INDIRECT("'"&amp;L$6&amp;"'!"&amp;L$4&amp;ROW()-47)="",NOT(ISNUMBER(INDIRECT("'"&amp;L$6&amp;"'!"&amp;L$4&amp;ROW()-47)))),"-",INDIRECT("'"&amp;L$6&amp;"'!"&amp;L$4&amp;ROW()-47))</f>
        <v>-</v>
      </c>
      <c r="M206" s="120" t="str">
        <f ca="1" t="array" ref="M206">IF(OR(TRIM(INDIRECT("'"&amp;M$6&amp;"'!"&amp;M$4&amp;ROW()-47))="0",INDIRECT("'"&amp;M$6&amp;"'!"&amp;M$4&amp;ROW()-47)="",NOT(ISNUMBER(INDIRECT("'"&amp;M$6&amp;"'!"&amp;M$4&amp;ROW()-47)))),"-",INDIRECT("'"&amp;M$6&amp;"'!"&amp;M$4&amp;ROW()-47))</f>
        <v>-</v>
      </c>
      <c r="N206" s="31">
        <f ca="1" t="shared" si="74"/>
        <v>0</v>
      </c>
      <c r="O206" s="31">
        <f ca="1" t="shared" si="75"/>
        <v>0</v>
      </c>
    </row>
    <row r="207" s="66" customFormat="1" ht="15" customHeight="1" spans="1:15">
      <c r="A207" s="13" t="str">
        <f>'Section-Category'!A172</f>
        <v>Other</v>
      </c>
      <c r="B207" s="120" t="str">
        <f ca="1" t="array" ref="B207">IF(OR(TRIM(INDIRECT("'"&amp;B$6&amp;"'!"&amp;B$4&amp;ROW()-47))="0",INDIRECT("'"&amp;B$6&amp;"'!"&amp;B$4&amp;ROW()-47)="",NOT(ISNUMBER(INDIRECT("'"&amp;B$6&amp;"'!"&amp;B$4&amp;ROW()-47)))),"-",INDIRECT("'"&amp;B$6&amp;"'!"&amp;B$4&amp;ROW()-47))</f>
        <v>-</v>
      </c>
      <c r="C207" s="120" t="str">
        <f ca="1" t="array" ref="C207">IF(OR(TRIM(INDIRECT("'"&amp;C$6&amp;"'!"&amp;C$4&amp;ROW()-47))="0",INDIRECT("'"&amp;C$6&amp;"'!"&amp;C$4&amp;ROW()-47)="",NOT(ISNUMBER(INDIRECT("'"&amp;C$6&amp;"'!"&amp;C$4&amp;ROW()-47)))),"-",INDIRECT("'"&amp;C$6&amp;"'!"&amp;C$4&amp;ROW()-47))</f>
        <v>-</v>
      </c>
      <c r="D207" s="120" t="str">
        <f ca="1" t="array" ref="D207">IF(OR(TRIM(INDIRECT("'"&amp;D$6&amp;"'!"&amp;D$4&amp;ROW()-47))="0",INDIRECT("'"&amp;D$6&amp;"'!"&amp;D$4&amp;ROW()-47)="",NOT(ISNUMBER(INDIRECT("'"&amp;D$6&amp;"'!"&amp;D$4&amp;ROW()-47)))),"-",INDIRECT("'"&amp;D$6&amp;"'!"&amp;D$4&amp;ROW()-47))</f>
        <v>-</v>
      </c>
      <c r="E207" s="120" t="str">
        <f ca="1" t="array" ref="E207">IF(OR(TRIM(INDIRECT("'"&amp;E$6&amp;"'!"&amp;E$4&amp;ROW()-47))="0",INDIRECT("'"&amp;E$6&amp;"'!"&amp;E$4&amp;ROW()-47)="",NOT(ISNUMBER(INDIRECT("'"&amp;E$6&amp;"'!"&amp;E$4&amp;ROW()-47)))),"-",INDIRECT("'"&amp;E$6&amp;"'!"&amp;E$4&amp;ROW()-47))</f>
        <v>-</v>
      </c>
      <c r="F207" s="120" t="str">
        <f ca="1" t="array" ref="F207">IF(OR(TRIM(INDIRECT("'"&amp;F$6&amp;"'!"&amp;F$4&amp;ROW()-47))="0",INDIRECT("'"&amp;F$6&amp;"'!"&amp;F$4&amp;ROW()-47)="",NOT(ISNUMBER(INDIRECT("'"&amp;F$6&amp;"'!"&amp;F$4&amp;ROW()-47)))),"-",INDIRECT("'"&amp;F$6&amp;"'!"&amp;F$4&amp;ROW()-47))</f>
        <v>-</v>
      </c>
      <c r="G207" s="120" t="str">
        <f ca="1" t="array" ref="G207">IF(OR(TRIM(INDIRECT("'"&amp;G$6&amp;"'!"&amp;G$4&amp;ROW()-47))="0",INDIRECT("'"&amp;G$6&amp;"'!"&amp;G$4&amp;ROW()-47)="",NOT(ISNUMBER(INDIRECT("'"&amp;G$6&amp;"'!"&amp;G$4&amp;ROW()-47)))),"-",INDIRECT("'"&amp;G$6&amp;"'!"&amp;G$4&amp;ROW()-47))</f>
        <v>-</v>
      </c>
      <c r="H207" s="120" t="str">
        <f ca="1" t="array" ref="H207">IF(OR(TRIM(INDIRECT("'"&amp;H$6&amp;"'!"&amp;H$4&amp;ROW()-47))="0",INDIRECT("'"&amp;H$6&amp;"'!"&amp;H$4&amp;ROW()-47)="",NOT(ISNUMBER(INDIRECT("'"&amp;H$6&amp;"'!"&amp;H$4&amp;ROW()-47)))),"-",INDIRECT("'"&amp;H$6&amp;"'!"&amp;H$4&amp;ROW()-47))</f>
        <v>-</v>
      </c>
      <c r="I207" s="120" t="str">
        <f ca="1" t="array" ref="I207">IF(OR(TRIM(INDIRECT("'"&amp;I$6&amp;"'!"&amp;I$4&amp;ROW()-47))="0",INDIRECT("'"&amp;I$6&amp;"'!"&amp;I$4&amp;ROW()-47)="",NOT(ISNUMBER(INDIRECT("'"&amp;I$6&amp;"'!"&amp;I$4&amp;ROW()-47)))),"-",INDIRECT("'"&amp;I$6&amp;"'!"&amp;I$4&amp;ROW()-47))</f>
        <v>-</v>
      </c>
      <c r="J207" s="120" t="str">
        <f ca="1" t="array" ref="J207">IF(OR(TRIM(INDIRECT("'"&amp;J$6&amp;"'!"&amp;J$4&amp;ROW()-47))="0",INDIRECT("'"&amp;J$6&amp;"'!"&amp;J$4&amp;ROW()-47)="",NOT(ISNUMBER(INDIRECT("'"&amp;J$6&amp;"'!"&amp;J$4&amp;ROW()-47)))),"-",INDIRECT("'"&amp;J$6&amp;"'!"&amp;J$4&amp;ROW()-47))</f>
        <v>-</v>
      </c>
      <c r="K207" s="120" t="str">
        <f ca="1" t="array" ref="K207">IF(OR(TRIM(INDIRECT("'"&amp;K$6&amp;"'!"&amp;K$4&amp;ROW()-47))="0",INDIRECT("'"&amp;K$6&amp;"'!"&amp;K$4&amp;ROW()-47)="",NOT(ISNUMBER(INDIRECT("'"&amp;K$6&amp;"'!"&amp;K$4&amp;ROW()-47)))),"-",INDIRECT("'"&amp;K$6&amp;"'!"&amp;K$4&amp;ROW()-47))</f>
        <v>-</v>
      </c>
      <c r="L207" s="120" t="str">
        <f ca="1" t="array" ref="L207">IF(OR(TRIM(INDIRECT("'"&amp;L$6&amp;"'!"&amp;L$4&amp;ROW()-47))="0",INDIRECT("'"&amp;L$6&amp;"'!"&amp;L$4&amp;ROW()-47)="",NOT(ISNUMBER(INDIRECT("'"&amp;L$6&amp;"'!"&amp;L$4&amp;ROW()-47)))),"-",INDIRECT("'"&amp;L$6&amp;"'!"&amp;L$4&amp;ROW()-47))</f>
        <v>-</v>
      </c>
      <c r="M207" s="120" t="str">
        <f ca="1" t="array" ref="M207">IF(OR(TRIM(INDIRECT("'"&amp;M$6&amp;"'!"&amp;M$4&amp;ROW()-47))="0",INDIRECT("'"&amp;M$6&amp;"'!"&amp;M$4&amp;ROW()-47)="",NOT(ISNUMBER(INDIRECT("'"&amp;M$6&amp;"'!"&amp;M$4&amp;ROW()-47)))),"-",INDIRECT("'"&amp;M$6&amp;"'!"&amp;M$4&amp;ROW()-47))</f>
        <v>-</v>
      </c>
      <c r="N207" s="31">
        <f ca="1" t="shared" si="74"/>
        <v>0</v>
      </c>
      <c r="O207" s="31">
        <f ca="1" t="shared" si="75"/>
        <v>0</v>
      </c>
    </row>
    <row r="208" s="66" customFormat="1" ht="15" customHeight="1" spans="1:15">
      <c r="A208" s="13" t="str">
        <f>'Section-Category'!A173</f>
        <v>&lt;Name-Of-Entry&gt;</v>
      </c>
      <c r="B208" s="120" t="str">
        <f ca="1" t="array" ref="B208">IF(OR(TRIM(INDIRECT("'"&amp;B$6&amp;"'!"&amp;B$4&amp;ROW()-47))="0",INDIRECT("'"&amp;B$6&amp;"'!"&amp;B$4&amp;ROW()-47)="",NOT(ISNUMBER(INDIRECT("'"&amp;B$6&amp;"'!"&amp;B$4&amp;ROW()-47)))),"-",INDIRECT("'"&amp;B$6&amp;"'!"&amp;B$4&amp;ROW()-47))</f>
        <v>-</v>
      </c>
      <c r="C208" s="120" t="str">
        <f ca="1" t="array" ref="C208">IF(OR(TRIM(INDIRECT("'"&amp;C$6&amp;"'!"&amp;C$4&amp;ROW()-47))="0",INDIRECT("'"&amp;C$6&amp;"'!"&amp;C$4&amp;ROW()-47)="",NOT(ISNUMBER(INDIRECT("'"&amp;C$6&amp;"'!"&amp;C$4&amp;ROW()-47)))),"-",INDIRECT("'"&amp;C$6&amp;"'!"&amp;C$4&amp;ROW()-47))</f>
        <v>-</v>
      </c>
      <c r="D208" s="120" t="str">
        <f ca="1" t="array" ref="D208">IF(OR(TRIM(INDIRECT("'"&amp;D$6&amp;"'!"&amp;D$4&amp;ROW()-47))="0",INDIRECT("'"&amp;D$6&amp;"'!"&amp;D$4&amp;ROW()-47)="",NOT(ISNUMBER(INDIRECT("'"&amp;D$6&amp;"'!"&amp;D$4&amp;ROW()-47)))),"-",INDIRECT("'"&amp;D$6&amp;"'!"&amp;D$4&amp;ROW()-47))</f>
        <v>-</v>
      </c>
      <c r="E208" s="120" t="str">
        <f ca="1" t="array" ref="E208">IF(OR(TRIM(INDIRECT("'"&amp;E$6&amp;"'!"&amp;E$4&amp;ROW()-47))="0",INDIRECT("'"&amp;E$6&amp;"'!"&amp;E$4&amp;ROW()-47)="",NOT(ISNUMBER(INDIRECT("'"&amp;E$6&amp;"'!"&amp;E$4&amp;ROW()-47)))),"-",INDIRECT("'"&amp;E$6&amp;"'!"&amp;E$4&amp;ROW()-47))</f>
        <v>-</v>
      </c>
      <c r="F208" s="120" t="str">
        <f ca="1" t="array" ref="F208">IF(OR(TRIM(INDIRECT("'"&amp;F$6&amp;"'!"&amp;F$4&amp;ROW()-47))="0",INDIRECT("'"&amp;F$6&amp;"'!"&amp;F$4&amp;ROW()-47)="",NOT(ISNUMBER(INDIRECT("'"&amp;F$6&amp;"'!"&amp;F$4&amp;ROW()-47)))),"-",INDIRECT("'"&amp;F$6&amp;"'!"&amp;F$4&amp;ROW()-47))</f>
        <v>-</v>
      </c>
      <c r="G208" s="120" t="str">
        <f ca="1" t="array" ref="G208">IF(OR(TRIM(INDIRECT("'"&amp;G$6&amp;"'!"&amp;G$4&amp;ROW()-47))="0",INDIRECT("'"&amp;G$6&amp;"'!"&amp;G$4&amp;ROW()-47)="",NOT(ISNUMBER(INDIRECT("'"&amp;G$6&amp;"'!"&amp;G$4&amp;ROW()-47)))),"-",INDIRECT("'"&amp;G$6&amp;"'!"&amp;G$4&amp;ROW()-47))</f>
        <v>-</v>
      </c>
      <c r="H208" s="120" t="str">
        <f ca="1" t="array" ref="H208">IF(OR(TRIM(INDIRECT("'"&amp;H$6&amp;"'!"&amp;H$4&amp;ROW()-47))="0",INDIRECT("'"&amp;H$6&amp;"'!"&amp;H$4&amp;ROW()-47)="",NOT(ISNUMBER(INDIRECT("'"&amp;H$6&amp;"'!"&amp;H$4&amp;ROW()-47)))),"-",INDIRECT("'"&amp;H$6&amp;"'!"&amp;H$4&amp;ROW()-47))</f>
        <v>-</v>
      </c>
      <c r="I208" s="120" t="str">
        <f ca="1" t="array" ref="I208">IF(OR(TRIM(INDIRECT("'"&amp;I$6&amp;"'!"&amp;I$4&amp;ROW()-47))="0",INDIRECT("'"&amp;I$6&amp;"'!"&amp;I$4&amp;ROW()-47)="",NOT(ISNUMBER(INDIRECT("'"&amp;I$6&amp;"'!"&amp;I$4&amp;ROW()-47)))),"-",INDIRECT("'"&amp;I$6&amp;"'!"&amp;I$4&amp;ROW()-47))</f>
        <v>-</v>
      </c>
      <c r="J208" s="120" t="str">
        <f ca="1" t="array" ref="J208">IF(OR(TRIM(INDIRECT("'"&amp;J$6&amp;"'!"&amp;J$4&amp;ROW()-47))="0",INDIRECT("'"&amp;J$6&amp;"'!"&amp;J$4&amp;ROW()-47)="",NOT(ISNUMBER(INDIRECT("'"&amp;J$6&amp;"'!"&amp;J$4&amp;ROW()-47)))),"-",INDIRECT("'"&amp;J$6&amp;"'!"&amp;J$4&amp;ROW()-47))</f>
        <v>-</v>
      </c>
      <c r="K208" s="120" t="str">
        <f ca="1" t="array" ref="K208">IF(OR(TRIM(INDIRECT("'"&amp;K$6&amp;"'!"&amp;K$4&amp;ROW()-47))="0",INDIRECT("'"&amp;K$6&amp;"'!"&amp;K$4&amp;ROW()-47)="",NOT(ISNUMBER(INDIRECT("'"&amp;K$6&amp;"'!"&amp;K$4&amp;ROW()-47)))),"-",INDIRECT("'"&amp;K$6&amp;"'!"&amp;K$4&amp;ROW()-47))</f>
        <v>-</v>
      </c>
      <c r="L208" s="120" t="str">
        <f ca="1" t="array" ref="L208">IF(OR(TRIM(INDIRECT("'"&amp;L$6&amp;"'!"&amp;L$4&amp;ROW()-47))="0",INDIRECT("'"&amp;L$6&amp;"'!"&amp;L$4&amp;ROW()-47)="",NOT(ISNUMBER(INDIRECT("'"&amp;L$6&amp;"'!"&amp;L$4&amp;ROW()-47)))),"-",INDIRECT("'"&amp;L$6&amp;"'!"&amp;L$4&amp;ROW()-47))</f>
        <v>-</v>
      </c>
      <c r="M208" s="120" t="str">
        <f ca="1" t="array" ref="M208">IF(OR(TRIM(INDIRECT("'"&amp;M$6&amp;"'!"&amp;M$4&amp;ROW()-47))="0",INDIRECT("'"&amp;M$6&amp;"'!"&amp;M$4&amp;ROW()-47)="",NOT(ISNUMBER(INDIRECT("'"&amp;M$6&amp;"'!"&amp;M$4&amp;ROW()-47)))),"-",INDIRECT("'"&amp;M$6&amp;"'!"&amp;M$4&amp;ROW()-47))</f>
        <v>-</v>
      </c>
      <c r="N208" s="31">
        <f ca="1" t="shared" si="74"/>
        <v>0</v>
      </c>
      <c r="O208" s="31">
        <f ca="1" t="shared" si="75"/>
        <v>0</v>
      </c>
    </row>
    <row r="209" s="66" customFormat="1" ht="15.75" customHeight="1" spans="1:15">
      <c r="A209" s="13" t="str">
        <f>'Section-Category'!A174</f>
        <v>&lt;Name-Of-Entry&gt;</v>
      </c>
      <c r="B209" s="120" t="str">
        <f ca="1" t="array" ref="B209">IF(OR(TRIM(INDIRECT("'"&amp;B$6&amp;"'!"&amp;B$4&amp;ROW()-47))="0",INDIRECT("'"&amp;B$6&amp;"'!"&amp;B$4&amp;ROW()-47)="",NOT(ISNUMBER(INDIRECT("'"&amp;B$6&amp;"'!"&amp;B$4&amp;ROW()-47)))),"-",INDIRECT("'"&amp;B$6&amp;"'!"&amp;B$4&amp;ROW()-47))</f>
        <v>-</v>
      </c>
      <c r="C209" s="120" t="str">
        <f ca="1" t="array" ref="C209">IF(OR(TRIM(INDIRECT("'"&amp;C$6&amp;"'!"&amp;C$4&amp;ROW()-47))="0",INDIRECT("'"&amp;C$6&amp;"'!"&amp;C$4&amp;ROW()-47)="",NOT(ISNUMBER(INDIRECT("'"&amp;C$6&amp;"'!"&amp;C$4&amp;ROW()-47)))),"-",INDIRECT("'"&amp;C$6&amp;"'!"&amp;C$4&amp;ROW()-47))</f>
        <v>-</v>
      </c>
      <c r="D209" s="120" t="str">
        <f ca="1" t="array" ref="D209">IF(OR(TRIM(INDIRECT("'"&amp;D$6&amp;"'!"&amp;D$4&amp;ROW()-47))="0",INDIRECT("'"&amp;D$6&amp;"'!"&amp;D$4&amp;ROW()-47)="",NOT(ISNUMBER(INDIRECT("'"&amp;D$6&amp;"'!"&amp;D$4&amp;ROW()-47)))),"-",INDIRECT("'"&amp;D$6&amp;"'!"&amp;D$4&amp;ROW()-47))</f>
        <v>-</v>
      </c>
      <c r="E209" s="120" t="str">
        <f ca="1" t="array" ref="E209">IF(OR(TRIM(INDIRECT("'"&amp;E$6&amp;"'!"&amp;E$4&amp;ROW()-47))="0",INDIRECT("'"&amp;E$6&amp;"'!"&amp;E$4&amp;ROW()-47)="",NOT(ISNUMBER(INDIRECT("'"&amp;E$6&amp;"'!"&amp;E$4&amp;ROW()-47)))),"-",INDIRECT("'"&amp;E$6&amp;"'!"&amp;E$4&amp;ROW()-47))</f>
        <v>-</v>
      </c>
      <c r="F209" s="120" t="str">
        <f ca="1" t="array" ref="F209">IF(OR(TRIM(INDIRECT("'"&amp;F$6&amp;"'!"&amp;F$4&amp;ROW()-47))="0",INDIRECT("'"&amp;F$6&amp;"'!"&amp;F$4&amp;ROW()-47)="",NOT(ISNUMBER(INDIRECT("'"&amp;F$6&amp;"'!"&amp;F$4&amp;ROW()-47)))),"-",INDIRECT("'"&amp;F$6&amp;"'!"&amp;F$4&amp;ROW()-47))</f>
        <v>-</v>
      </c>
      <c r="G209" s="120" t="str">
        <f ca="1" t="array" ref="G209">IF(OR(TRIM(INDIRECT("'"&amp;G$6&amp;"'!"&amp;G$4&amp;ROW()-47))="0",INDIRECT("'"&amp;G$6&amp;"'!"&amp;G$4&amp;ROW()-47)="",NOT(ISNUMBER(INDIRECT("'"&amp;G$6&amp;"'!"&amp;G$4&amp;ROW()-47)))),"-",INDIRECT("'"&amp;G$6&amp;"'!"&amp;G$4&amp;ROW()-47))</f>
        <v>-</v>
      </c>
      <c r="H209" s="120" t="str">
        <f ca="1" t="array" ref="H209">IF(OR(TRIM(INDIRECT("'"&amp;H$6&amp;"'!"&amp;H$4&amp;ROW()-47))="0",INDIRECT("'"&amp;H$6&amp;"'!"&amp;H$4&amp;ROW()-47)="",NOT(ISNUMBER(INDIRECT("'"&amp;H$6&amp;"'!"&amp;H$4&amp;ROW()-47)))),"-",INDIRECT("'"&amp;H$6&amp;"'!"&amp;H$4&amp;ROW()-47))</f>
        <v>-</v>
      </c>
      <c r="I209" s="120" t="str">
        <f ca="1" t="array" ref="I209">IF(OR(TRIM(INDIRECT("'"&amp;I$6&amp;"'!"&amp;I$4&amp;ROW()-47))="0",INDIRECT("'"&amp;I$6&amp;"'!"&amp;I$4&amp;ROW()-47)="",NOT(ISNUMBER(INDIRECT("'"&amp;I$6&amp;"'!"&amp;I$4&amp;ROW()-47)))),"-",INDIRECT("'"&amp;I$6&amp;"'!"&amp;I$4&amp;ROW()-47))</f>
        <v>-</v>
      </c>
      <c r="J209" s="120" t="str">
        <f ca="1" t="array" ref="J209">IF(OR(TRIM(INDIRECT("'"&amp;J$6&amp;"'!"&amp;J$4&amp;ROW()-47))="0",INDIRECT("'"&amp;J$6&amp;"'!"&amp;J$4&amp;ROW()-47)="",NOT(ISNUMBER(INDIRECT("'"&amp;J$6&amp;"'!"&amp;J$4&amp;ROW()-47)))),"-",INDIRECT("'"&amp;J$6&amp;"'!"&amp;J$4&amp;ROW()-47))</f>
        <v>-</v>
      </c>
      <c r="K209" s="120" t="str">
        <f ca="1" t="array" ref="K209">IF(OR(TRIM(INDIRECT("'"&amp;K$6&amp;"'!"&amp;K$4&amp;ROW()-47))="0",INDIRECT("'"&amp;K$6&amp;"'!"&amp;K$4&amp;ROW()-47)="",NOT(ISNUMBER(INDIRECT("'"&amp;K$6&amp;"'!"&amp;K$4&amp;ROW()-47)))),"-",INDIRECT("'"&amp;K$6&amp;"'!"&amp;K$4&amp;ROW()-47))</f>
        <v>-</v>
      </c>
      <c r="L209" s="120" t="str">
        <f ca="1" t="array" ref="L209">IF(OR(TRIM(INDIRECT("'"&amp;L$6&amp;"'!"&amp;L$4&amp;ROW()-47))="0",INDIRECT("'"&amp;L$6&amp;"'!"&amp;L$4&amp;ROW()-47)="",NOT(ISNUMBER(INDIRECT("'"&amp;L$6&amp;"'!"&amp;L$4&amp;ROW()-47)))),"-",INDIRECT("'"&amp;L$6&amp;"'!"&amp;L$4&amp;ROW()-47))</f>
        <v>-</v>
      </c>
      <c r="M209" s="120" t="str">
        <f ca="1" t="array" ref="M209">IF(OR(TRIM(INDIRECT("'"&amp;M$6&amp;"'!"&amp;M$4&amp;ROW()-47))="0",INDIRECT("'"&amp;M$6&amp;"'!"&amp;M$4&amp;ROW()-47)="",NOT(ISNUMBER(INDIRECT("'"&amp;M$6&amp;"'!"&amp;M$4&amp;ROW()-47)))),"-",INDIRECT("'"&amp;M$6&amp;"'!"&amp;M$4&amp;ROW()-47))</f>
        <v>-</v>
      </c>
      <c r="N209" s="31">
        <f ca="1" t="shared" si="74"/>
        <v>0</v>
      </c>
      <c r="O209" s="31">
        <f ca="1" t="shared" si="75"/>
        <v>0</v>
      </c>
    </row>
    <row r="210" s="66" customFormat="1" ht="15" customHeight="1" spans="1:15">
      <c r="A210" s="10" t="str">
        <f>'Section-Category'!A175</f>
        <v>Total MISCELLANEOUS</v>
      </c>
      <c r="B210" s="123">
        <f ca="1" t="shared" ref="B210:O210" si="76">SUM(B205:B209)</f>
        <v>0</v>
      </c>
      <c r="C210" s="123">
        <f ca="1" t="shared" si="76"/>
        <v>0</v>
      </c>
      <c r="D210" s="123">
        <f ca="1" t="shared" si="76"/>
        <v>0</v>
      </c>
      <c r="E210" s="123">
        <f ca="1" t="shared" si="76"/>
        <v>0</v>
      </c>
      <c r="F210" s="123">
        <f ca="1" t="shared" si="76"/>
        <v>0</v>
      </c>
      <c r="G210" s="123">
        <f ca="1" t="shared" si="76"/>
        <v>0</v>
      </c>
      <c r="H210" s="123">
        <f ca="1" t="shared" si="76"/>
        <v>0</v>
      </c>
      <c r="I210" s="123">
        <f ca="1" t="shared" si="76"/>
        <v>0</v>
      </c>
      <c r="J210" s="123">
        <f ca="1" t="shared" si="76"/>
        <v>0</v>
      </c>
      <c r="K210" s="123">
        <f ca="1" t="shared" si="76"/>
        <v>0</v>
      </c>
      <c r="L210" s="123">
        <f ca="1" t="shared" si="76"/>
        <v>0</v>
      </c>
      <c r="M210" s="123">
        <f ca="1" t="shared" si="76"/>
        <v>0</v>
      </c>
      <c r="N210" s="39">
        <f ca="1" t="shared" si="76"/>
        <v>0</v>
      </c>
      <c r="O210" s="39">
        <f ca="1" t="shared" si="76"/>
        <v>0</v>
      </c>
    </row>
    <row r="211" s="66" customFormat="1" ht="14.25" customHeight="1" spans="1:15">
      <c r="A211" s="11" t="str">
        <f>'Section-Category'!A176</f>
        <v>% of Total Expenses</v>
      </c>
      <c r="B211" s="124" t="str">
        <f ca="1" t="shared" ref="B211:O211" si="77">IF(B$17=0," - ",B210/B$17)</f>
        <v> - </v>
      </c>
      <c r="C211" s="124" t="str">
        <f ca="1" t="shared" si="77"/>
        <v> - </v>
      </c>
      <c r="D211" s="124" t="str">
        <f ca="1" t="shared" si="77"/>
        <v> - </v>
      </c>
      <c r="E211" s="124" t="str">
        <f ca="1" t="shared" si="77"/>
        <v> - </v>
      </c>
      <c r="F211" s="124" t="str">
        <f ca="1" t="shared" si="77"/>
        <v> - </v>
      </c>
      <c r="G211" s="124" t="str">
        <f ca="1" t="shared" si="77"/>
        <v> - </v>
      </c>
      <c r="H211" s="124" t="str">
        <f ca="1" t="shared" si="77"/>
        <v> - </v>
      </c>
      <c r="I211" s="124" t="str">
        <f ca="1" t="shared" si="77"/>
        <v> - </v>
      </c>
      <c r="J211" s="124" t="str">
        <f ca="1" t="shared" si="77"/>
        <v> - </v>
      </c>
      <c r="K211" s="124" t="str">
        <f ca="1" t="shared" si="77"/>
        <v> - </v>
      </c>
      <c r="L211" s="124" t="str">
        <f ca="1" t="shared" si="77"/>
        <v> - </v>
      </c>
      <c r="M211" s="124" t="str">
        <f ca="1" t="shared" si="77"/>
        <v> - </v>
      </c>
      <c r="N211" s="125" t="str">
        <f ca="1" t="shared" si="77"/>
        <v> - </v>
      </c>
      <c r="O211" s="125" t="str">
        <f ca="1" t="shared" si="77"/>
        <v> - </v>
      </c>
    </row>
    <row r="212" ht="15" customHeight="1" spans="1:15">
      <c r="A212" s="10"/>
      <c r="B212" s="39"/>
      <c r="C212" s="39"/>
      <c r="D212" s="39"/>
      <c r="E212" s="39"/>
      <c r="F212" s="39"/>
      <c r="G212" s="39"/>
      <c r="H212" s="39"/>
      <c r="I212" s="39"/>
      <c r="J212" s="39"/>
      <c r="K212" s="39"/>
      <c r="L212" s="39"/>
      <c r="M212" s="39"/>
      <c r="N212" s="39"/>
      <c r="O212" s="39"/>
    </row>
  </sheetData>
  <mergeCells count="4">
    <mergeCell ref="A5:O5"/>
    <mergeCell ref="A7:O7"/>
    <mergeCell ref="A10:O10"/>
    <mergeCell ref="A15:O15"/>
  </mergeCells>
  <printOptions horizontalCentered="1"/>
  <pageMargins left="0.5" right="0.5" top="0.5" bottom="0.5" header="0.511811023622047" footer="0.511811023622047"/>
  <pageSetup paperSize="1" fitToHeight="0" orientation="landscape" useFirstPageNumber="1"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A17" sqref="A17"/>
    </sheetView>
  </sheetViews>
  <sheetFormatPr defaultColWidth="9.00833333333333" defaultRowHeight="16.8" customHeight="1"/>
  <cols>
    <col min="1" max="1" width="24.5" customWidth="1"/>
    <col min="2" max="12" width="15.8833333333333" customWidth="1"/>
    <col min="13" max="13" width="12.1916666666667" customWidth="1"/>
    <col min="14" max="32" width="15.88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Jan</v>
      </c>
      <c r="B1" s="2">
        <f>Budget!D1</f>
        <v>2026</v>
      </c>
    </row>
    <row r="2" s="22" customFormat="1" ht="18" customHeight="1" spans="1:33">
      <c r="A2" s="24" t="s">
        <v>37</v>
      </c>
      <c r="B2" s="25">
        <f>'Section-Category'!D6</f>
        <v>46023</v>
      </c>
      <c r="C2" s="25">
        <f>'Section-Category'!E6</f>
        <v>46024</v>
      </c>
      <c r="D2" s="25">
        <f>'Section-Category'!F6</f>
        <v>46025</v>
      </c>
      <c r="E2" s="25">
        <f>'Section-Category'!G6</f>
        <v>46026</v>
      </c>
      <c r="F2" s="25">
        <f>'Section-Category'!H6</f>
        <v>46027</v>
      </c>
      <c r="G2" s="25">
        <f>'Section-Category'!I6</f>
        <v>46028</v>
      </c>
      <c r="H2" s="25">
        <f>'Section-Category'!J6</f>
        <v>46029</v>
      </c>
      <c r="I2" s="25">
        <f>'Section-Category'!K6</f>
        <v>46030</v>
      </c>
      <c r="J2" s="25">
        <f>'Section-Category'!L6</f>
        <v>46031</v>
      </c>
      <c r="K2" s="25">
        <f>'Section-Category'!M6</f>
        <v>46032</v>
      </c>
      <c r="L2" s="25">
        <f>'Section-Category'!N6</f>
        <v>46033</v>
      </c>
      <c r="M2" s="25">
        <f>'Section-Category'!O6</f>
        <v>46034</v>
      </c>
      <c r="N2" s="25">
        <f>'Section-Category'!P6</f>
        <v>46035</v>
      </c>
      <c r="O2" s="25">
        <f>'Section-Category'!Q6</f>
        <v>46036</v>
      </c>
      <c r="P2" s="25">
        <f>'Section-Category'!R6</f>
        <v>46037</v>
      </c>
      <c r="Q2" s="25">
        <f>'Section-Category'!S6</f>
        <v>46038</v>
      </c>
      <c r="R2" s="25">
        <f>'Section-Category'!T6</f>
        <v>46039</v>
      </c>
      <c r="S2" s="25">
        <f>'Section-Category'!U6</f>
        <v>46040</v>
      </c>
      <c r="T2" s="25">
        <f>'Section-Category'!V6</f>
        <v>46041</v>
      </c>
      <c r="U2" s="25">
        <f>'Section-Category'!W6</f>
        <v>46042</v>
      </c>
      <c r="V2" s="25">
        <f>'Section-Category'!X6</f>
        <v>46043</v>
      </c>
      <c r="W2" s="25">
        <f>'Section-Category'!Y6</f>
        <v>46044</v>
      </c>
      <c r="X2" s="25">
        <f>'Section-Category'!Z6</f>
        <v>46045</v>
      </c>
      <c r="Y2" s="25">
        <f>'Section-Category'!AA6</f>
        <v>46046</v>
      </c>
      <c r="Z2" s="25">
        <f>'Section-Category'!AB6</f>
        <v>46047</v>
      </c>
      <c r="AA2" s="25">
        <f>'Section-Category'!AC6</f>
        <v>46048</v>
      </c>
      <c r="AB2" s="25">
        <f>'Section-Category'!AD6</f>
        <v>46049</v>
      </c>
      <c r="AC2" s="25">
        <f>'Section-Category'!AE6</f>
        <v>46050</v>
      </c>
      <c r="AD2" s="25">
        <f>'Section-Category'!AF6</f>
        <v>46051</v>
      </c>
      <c r="AE2" s="25">
        <f>'Section-Category'!AG6</f>
        <v>46052</v>
      </c>
      <c r="AF2" s="25">
        <f>'Section-Category'!AH6</f>
        <v>46053</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D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D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D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D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D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D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D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D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D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D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D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D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D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c r="AF146" s="39">
        <f>SUM(AF140:AF145)</f>
        <v>0</v>
      </c>
      <c r="AG146" s="39">
        <f>SUM(AG140:AG145)</f>
        <v>0</v>
      </c>
    </row>
    <row r="147" spans="1:33">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D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D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c r="AF163" s="39">
        <f>SUM(AF158:AF162)</f>
        <v>0</v>
      </c>
      <c r="AG163" s="39">
        <f>SUM(AG158:AG162)</f>
        <v>0</v>
      </c>
    </row>
    <row r="164" spans="1:33">
      <c r="A164" s="44" t="s">
        <v>49</v>
      </c>
      <c r="B164" s="30">
        <f t="shared" ref="B164:AD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Repair / Workshop</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Pocket Money Husband</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53</v>
      </c>
      <c r="B240" s="50" t="str">
        <f t="shared" ref="B240:B275" si="30">IF(TRIM($C240)="0","0",ROUND(($C240/C$276)*100,2))</f>
        <v>0</v>
      </c>
      <c r="C240" s="51">
        <f>AG112</f>
        <v>0</v>
      </c>
    </row>
    <row r="241" ht="16.5" customHeight="1" spans="1:3">
      <c r="A241" t="s">
        <v>53</v>
      </c>
      <c r="B241" s="50" t="str">
        <f t="shared" si="30"/>
        <v>0</v>
      </c>
      <c r="C241" s="51">
        <f>AG113</f>
        <v>0</v>
      </c>
    </row>
    <row r="242" ht="16.5" customHeight="1" spans="1:3">
      <c r="A242" t="s">
        <v>53</v>
      </c>
      <c r="B242" s="50" t="str">
        <f t="shared" si="30"/>
        <v>0</v>
      </c>
      <c r="C242" s="51">
        <f>AG114</f>
        <v>0</v>
      </c>
    </row>
    <row r="243" ht="16.5" customHeight="1" spans="1:3">
      <c r="A243" t="s">
        <v>53</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C15" sqref="C15"/>
    </sheetView>
  </sheetViews>
  <sheetFormatPr defaultColWidth="9.00833333333333" defaultRowHeight="16.8" customHeight="1"/>
  <cols>
    <col min="1" max="1" width="24.5" customWidth="1"/>
    <col min="2" max="2" width="15.8833333333333" customWidth="1"/>
    <col min="3" max="31" width="16.6916666666667"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Feb</v>
      </c>
      <c r="B1" s="2">
        <f>Budget!D1</f>
        <v>2026</v>
      </c>
    </row>
    <row r="2" s="22" customFormat="1" ht="18" customHeight="1" spans="1:32">
      <c r="A2" s="24" t="s">
        <v>37</v>
      </c>
      <c r="B2" s="25">
        <f>'Section-Category'!D7</f>
        <v>46054</v>
      </c>
      <c r="C2" s="25">
        <f>'Section-Category'!E7</f>
        <v>46055</v>
      </c>
      <c r="D2" s="25">
        <f>'Section-Category'!F7</f>
        <v>46056</v>
      </c>
      <c r="E2" s="25">
        <f>'Section-Category'!G7</f>
        <v>46057</v>
      </c>
      <c r="F2" s="25">
        <f>'Section-Category'!H7</f>
        <v>46058</v>
      </c>
      <c r="G2" s="25">
        <f>'Section-Category'!I7</f>
        <v>46059</v>
      </c>
      <c r="H2" s="25">
        <f>'Section-Category'!J7</f>
        <v>46060</v>
      </c>
      <c r="I2" s="25">
        <f>'Section-Category'!K7</f>
        <v>46061</v>
      </c>
      <c r="J2" s="25">
        <f>'Section-Category'!L7</f>
        <v>46062</v>
      </c>
      <c r="K2" s="25">
        <f>'Section-Category'!M7</f>
        <v>46063</v>
      </c>
      <c r="L2" s="25">
        <f>'Section-Category'!N7</f>
        <v>46064</v>
      </c>
      <c r="M2" s="25">
        <f>'Section-Category'!O7</f>
        <v>46065</v>
      </c>
      <c r="N2" s="25">
        <f>'Section-Category'!P7</f>
        <v>46066</v>
      </c>
      <c r="O2" s="25">
        <f>'Section-Category'!Q7</f>
        <v>46067</v>
      </c>
      <c r="P2" s="25">
        <f>'Section-Category'!R7</f>
        <v>46068</v>
      </c>
      <c r="Q2" s="25">
        <f>'Section-Category'!S7</f>
        <v>46069</v>
      </c>
      <c r="R2" s="25">
        <f>'Section-Category'!T7</f>
        <v>46070</v>
      </c>
      <c r="S2" s="25">
        <f>'Section-Category'!U7</f>
        <v>46071</v>
      </c>
      <c r="T2" s="25">
        <f>'Section-Category'!V7</f>
        <v>46072</v>
      </c>
      <c r="U2" s="25">
        <f>'Section-Category'!W7</f>
        <v>46073</v>
      </c>
      <c r="V2" s="25">
        <f>'Section-Category'!X7</f>
        <v>46074</v>
      </c>
      <c r="W2" s="25">
        <f>'Section-Category'!Y7</f>
        <v>46075</v>
      </c>
      <c r="X2" s="25">
        <f>'Section-Category'!Z7</f>
        <v>46076</v>
      </c>
      <c r="Y2" s="25">
        <f>'Section-Category'!AA7</f>
        <v>46077</v>
      </c>
      <c r="Z2" s="25">
        <f>'Section-Category'!AB7</f>
        <v>46078</v>
      </c>
      <c r="AA2" s="25">
        <f>'Section-Category'!AC7</f>
        <v>46079</v>
      </c>
      <c r="AB2" s="25">
        <f>'Section-Category'!AD7</f>
        <v>46080</v>
      </c>
      <c r="AC2" s="25">
        <f>'Section-Category'!AE7</f>
        <v>46081</v>
      </c>
      <c r="AD2" s="25" t="str">
        <f>'Section-Category'!AF7</f>
        <v>#</v>
      </c>
      <c r="AE2" s="25" t="str">
        <f>'Section-Category'!AG7</f>
        <v>#</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SUM(B5:AC5)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C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c r="AE12" s="32"/>
      <c r="AF12" s="32">
        <f>SUM(AF5:AF11)</f>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SUM(B15:AC15)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C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c r="AE23" s="39"/>
      <c r="AF23" s="39">
        <f>SUM(AF15:AF22)</f>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SUM(B26:AC26)</f>
        <v>0</v>
      </c>
    </row>
    <row r="27" spans="1:32">
      <c r="A27" s="9" t="str">
        <f>'Section-Category'!A13</f>
        <v>Investments</v>
      </c>
      <c r="B27" s="37"/>
      <c r="C27" s="37"/>
      <c r="D27" s="37"/>
      <c r="E27" s="37"/>
      <c r="F27" s="37"/>
      <c r="G27" s="37"/>
      <c r="H27" s="37"/>
      <c r="I27" s="37"/>
      <c r="J27" s="37"/>
      <c r="K27" s="37"/>
      <c r="L27" s="37"/>
      <c r="AF27" s="31">
        <f>SUM(B27:AC27)</f>
        <v>0</v>
      </c>
    </row>
    <row r="28" spans="1:32">
      <c r="A28" s="9" t="str">
        <f>'Section-Category'!A14</f>
        <v>Pocket Money Wife</v>
      </c>
      <c r="C28" s="37"/>
      <c r="D28" s="37"/>
      <c r="F28" s="37"/>
      <c r="G28" s="37"/>
      <c r="H28" s="37"/>
      <c r="I28" s="37"/>
      <c r="J28" s="37"/>
      <c r="K28" s="37"/>
      <c r="L28" s="37"/>
      <c r="AF28" s="31">
        <f>SUM(B28:AC28)</f>
        <v>0</v>
      </c>
    </row>
    <row r="29" spans="1:32">
      <c r="A29" s="9" t="str">
        <f>'Section-Category'!A15</f>
        <v>&lt;Name-Of-Entry&gt;</v>
      </c>
      <c r="C29" s="37"/>
      <c r="D29" s="37"/>
      <c r="F29" s="37"/>
      <c r="G29" s="37"/>
      <c r="H29" s="37"/>
      <c r="I29" s="37"/>
      <c r="J29" s="37"/>
      <c r="K29" s="37"/>
      <c r="L29" s="37"/>
      <c r="AF29" s="31">
        <f>SUM(B29:AC29)</f>
        <v>0</v>
      </c>
    </row>
    <row r="30" ht="17.25" customHeight="1" spans="1:32">
      <c r="A30" s="9" t="str">
        <f>'Section-Category'!A16</f>
        <v>&lt;Name-Of-Entry&gt;</v>
      </c>
      <c r="B30" s="37"/>
      <c r="C30" s="37"/>
      <c r="D30" s="37"/>
      <c r="F30" s="37"/>
      <c r="G30" s="37"/>
      <c r="H30" s="37"/>
      <c r="I30" s="37"/>
      <c r="J30" s="37"/>
      <c r="K30" s="37"/>
      <c r="L30" s="37"/>
      <c r="AF30" s="31">
        <f>SUM(B30:AC30)</f>
        <v>0</v>
      </c>
    </row>
    <row r="31" ht="17.25" customHeight="1" spans="1:32">
      <c r="A31" s="38" t="str">
        <f>'Section-Category'!A17</f>
        <v>Total SAVINGS EXPENSE</v>
      </c>
      <c r="B31" s="39">
        <f t="shared" ref="B31:AC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c r="AE31" s="39"/>
      <c r="AF31" s="39">
        <f>SUM(AF26:AF30)</f>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SUM(B34:AC34)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C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c r="AE47" s="39"/>
      <c r="AF47" s="39">
        <f>SUM(AF34:AF46)</f>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SUM(B50:AC50)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C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c r="AE60" s="39"/>
      <c r="AF60" s="39">
        <f>SUM(AF50:AF59)</f>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SUM(B63:AC63)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C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c r="AE71" s="39"/>
      <c r="AF71" s="39">
        <f>SUM(AF63:AF70)</f>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SUM(B74:AC74)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C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c r="AE80" s="39"/>
      <c r="AF80" s="39">
        <f>SUM(AF74:AF79)</f>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SUM(B83:AC83)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SUM(B84:AC84)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SUM(B85:AC85)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SUM(B86:AC86)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SUM(B87:AC87)</f>
        <v>0</v>
      </c>
    </row>
    <row r="88" ht="17.25" customHeight="1" spans="1:32">
      <c r="A88" s="38" t="str">
        <f>'Section-Category'!A79</f>
        <v>Total HEALTH</v>
      </c>
      <c r="B88" s="39">
        <f t="shared" ref="B88:AC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c r="AE88" s="39"/>
      <c r="AF88" s="39">
        <f>SUM(AF83:AF87)</f>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SUM(B91:AC91)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SUM(B92:AC92)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SUM(B93:AC93)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SUM(B94:AC94)</f>
        <v>0</v>
      </c>
    </row>
    <row r="95" ht="17.25" customHeight="1" spans="1:32">
      <c r="A95" s="38" t="str">
        <f>'Section-Category'!A99</f>
        <v>Total EDUCATION</v>
      </c>
      <c r="B95" s="42">
        <f t="shared" ref="B95:AC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c r="AE95" s="42"/>
      <c r="AF95" s="42">
        <f>SUM(AF91:AF94)</f>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SUM(B98:AC98)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SUM(B99:AC99)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SUM(B100:AC100)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SUM(B101:AC101)</f>
        <v>0</v>
      </c>
    </row>
    <row r="102" ht="17.25" customHeight="1" spans="1:32">
      <c r="A102" s="38" t="str">
        <f>'Section-Category'!A107</f>
        <v>Total CHARITY/GIFTS</v>
      </c>
      <c r="B102" s="42">
        <f t="shared" ref="B102:AC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c r="AE102" s="42"/>
      <c r="AF102" s="42">
        <f>SUM(AF98:AF101)</f>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SUM(B105:AC105)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SUM(B106:AC106)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SUM(B107:AC107)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SUM(B108:AC108)</f>
        <v>0</v>
      </c>
    </row>
    <row r="109" ht="17.25" customHeight="1" spans="1:32">
      <c r="A109" s="38" t="str">
        <f>'Section-Category'!A115</f>
        <v>Total OBLIGATIONS</v>
      </c>
      <c r="B109" s="39">
        <f t="shared" ref="B109:AC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c r="AE109" s="39"/>
      <c r="AF109" s="39">
        <f>SUM(AF105:AF108)</f>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SUM(B119:AC119)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C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c r="AE130" s="39"/>
      <c r="AF130" s="39">
        <f>SUM(AF119:AF129)</f>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SUM(B140:AC140)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C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c r="AE146" s="39"/>
      <c r="AF146" s="39">
        <f>SUM(AF140:AF145)</f>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SUM(B149:AC149)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C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c r="AE155" s="39"/>
      <c r="AF155" s="39">
        <f>SUM(AF149:AF154)</f>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SUM(B158:AC158)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SUM(B159:AC159)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SUM(B160:AC160)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SUM(B161:AC161)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SUM(B162:AC162)</f>
        <v>0</v>
      </c>
    </row>
    <row r="163" ht="17.25" customHeight="1" spans="1:32">
      <c r="A163" s="38" t="str">
        <f>'Section-Category'!A175</f>
        <v>Total MISCELLANEOUS</v>
      </c>
      <c r="B163" s="39">
        <f t="shared" ref="B163:AC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c r="AE163" s="39"/>
      <c r="AF163" s="39">
        <f>SUM(AF158:AF162)</f>
        <v>0</v>
      </c>
    </row>
    <row r="164" spans="1:32">
      <c r="A164" s="44" t="s">
        <v>49</v>
      </c>
      <c r="B164" s="30">
        <f t="shared" ref="B164:AC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c r="AE164" s="30"/>
      <c r="AF164" s="30">
        <f>SUM(AF31,AF47,AF60,AF71,AF88,AF23,AF95,AF102,AF109,AF116,AF130,AF137,AF146,AF155,AF163)</f>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B5" sqref="B5"/>
    </sheetView>
  </sheetViews>
  <sheetFormatPr defaultColWidth="9.00833333333333" defaultRowHeight="16.8" customHeight="1"/>
  <cols>
    <col min="1" max="1" width="24.5" customWidth="1"/>
    <col min="2" max="12" width="15.8833333333333" customWidth="1"/>
    <col min="13" max="13" width="14.0666666666667" customWidth="1"/>
    <col min="14" max="32" width="15.88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Mar</v>
      </c>
      <c r="B1" s="2">
        <f>Budget!D1</f>
        <v>2026</v>
      </c>
    </row>
    <row r="2" s="22" customFormat="1" ht="18" customHeight="1" spans="1:33">
      <c r="A2" s="24" t="s">
        <v>37</v>
      </c>
      <c r="B2" s="25">
        <f>'Section-Category'!D8</f>
        <v>46082</v>
      </c>
      <c r="C2" s="25">
        <f>'Section-Category'!E8</f>
        <v>46083</v>
      </c>
      <c r="D2" s="25">
        <f>'Section-Category'!F8</f>
        <v>46084</v>
      </c>
      <c r="E2" s="25">
        <f>'Section-Category'!G8</f>
        <v>46085</v>
      </c>
      <c r="F2" s="25">
        <f>'Section-Category'!H8</f>
        <v>46086</v>
      </c>
      <c r="G2" s="25">
        <f>'Section-Category'!I8</f>
        <v>46087</v>
      </c>
      <c r="H2" s="25">
        <f>'Section-Category'!J8</f>
        <v>46088</v>
      </c>
      <c r="I2" s="25">
        <f>'Section-Category'!K8</f>
        <v>46089</v>
      </c>
      <c r="J2" s="25">
        <f>'Section-Category'!L8</f>
        <v>46090</v>
      </c>
      <c r="K2" s="25">
        <f>'Section-Category'!M8</f>
        <v>46091</v>
      </c>
      <c r="L2" s="25">
        <f>'Section-Category'!N8</f>
        <v>46092</v>
      </c>
      <c r="M2" s="25">
        <f>'Section-Category'!O8</f>
        <v>46093</v>
      </c>
      <c r="N2" s="25">
        <f>'Section-Category'!P8</f>
        <v>46094</v>
      </c>
      <c r="O2" s="25">
        <f>'Section-Category'!Q8</f>
        <v>46095</v>
      </c>
      <c r="P2" s="25">
        <f>'Section-Category'!R8</f>
        <v>46096</v>
      </c>
      <c r="Q2" s="25">
        <f>'Section-Category'!S8</f>
        <v>46097</v>
      </c>
      <c r="R2" s="25">
        <f>'Section-Category'!T8</f>
        <v>46098</v>
      </c>
      <c r="S2" s="25">
        <f>'Section-Category'!U8</f>
        <v>46099</v>
      </c>
      <c r="T2" s="25">
        <f>'Section-Category'!V8</f>
        <v>46100</v>
      </c>
      <c r="U2" s="25">
        <f>'Section-Category'!W8</f>
        <v>46101</v>
      </c>
      <c r="V2" s="25">
        <f>'Section-Category'!X8</f>
        <v>46102</v>
      </c>
      <c r="W2" s="25">
        <f>'Section-Category'!Y8</f>
        <v>46103</v>
      </c>
      <c r="X2" s="25">
        <f>'Section-Category'!Z8</f>
        <v>46104</v>
      </c>
      <c r="Y2" s="25">
        <f>'Section-Category'!AA8</f>
        <v>46105</v>
      </c>
      <c r="Z2" s="25">
        <f>'Section-Category'!AB8</f>
        <v>46106</v>
      </c>
      <c r="AA2" s="25">
        <f>'Section-Category'!AC8</f>
        <v>46107</v>
      </c>
      <c r="AB2" s="25">
        <f>'Section-Category'!AD8</f>
        <v>46108</v>
      </c>
      <c r="AC2" s="25">
        <f>'Section-Category'!AE8</f>
        <v>46109</v>
      </c>
      <c r="AD2" s="25">
        <f>'Section-Category'!AF8</f>
        <v>46110</v>
      </c>
      <c r="AE2" s="25">
        <f>'Section-Category'!AG8</f>
        <v>46111</v>
      </c>
      <c r="AF2" s="25">
        <f>'Section-Category'!AH8</f>
        <v>46112</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D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D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D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D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D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D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D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D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D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D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D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D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D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c r="AF146" s="39">
        <f>SUM(AF140:AF145)</f>
        <v>0</v>
      </c>
      <c r="AG146" s="39">
        <f>SUM(AG140:AG145)</f>
        <v>0</v>
      </c>
    </row>
    <row r="147" spans="1:33">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D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D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c r="AF163" s="39">
        <f>SUM(AF158:AF162)</f>
        <v>0</v>
      </c>
      <c r="AG163" s="39">
        <f>SUM(AG158:AG162)</f>
        <v>0</v>
      </c>
    </row>
    <row r="164" spans="1:33">
      <c r="A164" s="44" t="s">
        <v>49</v>
      </c>
      <c r="B164" s="30">
        <f t="shared" ref="B164:AD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Repair / Workshop</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Pocket Money Husband</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53</v>
      </c>
      <c r="B240" s="50" t="str">
        <f t="shared" ref="B240:B275" si="30">IF(TRIM($C240)="0","0",ROUND(($C240/C$276)*100,2))</f>
        <v>0</v>
      </c>
      <c r="C240" s="51">
        <f>AG112</f>
        <v>0</v>
      </c>
    </row>
    <row r="241" ht="16.5" customHeight="1" spans="1:3">
      <c r="A241" t="s">
        <v>53</v>
      </c>
      <c r="B241" s="50" t="str">
        <f t="shared" si="30"/>
        <v>0</v>
      </c>
      <c r="C241" s="51">
        <f>AG113</f>
        <v>0</v>
      </c>
    </row>
    <row r="242" ht="16.5" customHeight="1" spans="1:3">
      <c r="A242" t="s">
        <v>53</v>
      </c>
      <c r="B242" s="50" t="str">
        <f t="shared" si="30"/>
        <v>0</v>
      </c>
      <c r="C242" s="51">
        <f>AG114</f>
        <v>0</v>
      </c>
    </row>
    <row r="243" ht="16.5" customHeight="1" spans="1:3">
      <c r="A243" t="s">
        <v>53</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topLeftCell="A5" workbookViewId="0">
      <selection activeCell="A26" sqref="A26"/>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Apr</v>
      </c>
      <c r="B1" s="2">
        <f>Budget!D1</f>
        <v>2026</v>
      </c>
    </row>
    <row r="2" s="22" customFormat="1" ht="18" customHeight="1" spans="1:32">
      <c r="A2" s="24" t="s">
        <v>37</v>
      </c>
      <c r="B2" s="25">
        <f>'Section-Category'!D9</f>
        <v>46113</v>
      </c>
      <c r="C2" s="25">
        <f>'Section-Category'!E9</f>
        <v>46114</v>
      </c>
      <c r="D2" s="25">
        <f>'Section-Category'!F9</f>
        <v>46115</v>
      </c>
      <c r="E2" s="25">
        <f>'Section-Category'!G9</f>
        <v>46116</v>
      </c>
      <c r="F2" s="25">
        <f>'Section-Category'!H9</f>
        <v>46117</v>
      </c>
      <c r="G2" s="25">
        <f>'Section-Category'!I9</f>
        <v>46118</v>
      </c>
      <c r="H2" s="25">
        <f>'Section-Category'!J9</f>
        <v>46119</v>
      </c>
      <c r="I2" s="25">
        <f>'Section-Category'!K9</f>
        <v>46120</v>
      </c>
      <c r="J2" s="25">
        <f>'Section-Category'!L9</f>
        <v>46121</v>
      </c>
      <c r="K2" s="25">
        <f>'Section-Category'!M9</f>
        <v>46122</v>
      </c>
      <c r="L2" s="25">
        <f>'Section-Category'!N9</f>
        <v>46123</v>
      </c>
      <c r="M2" s="25">
        <f>'Section-Category'!O9</f>
        <v>46124</v>
      </c>
      <c r="N2" s="25">
        <f>'Section-Category'!P9</f>
        <v>46125</v>
      </c>
      <c r="O2" s="25">
        <f>'Section-Category'!Q9</f>
        <v>46126</v>
      </c>
      <c r="P2" s="25">
        <f>'Section-Category'!R9</f>
        <v>46127</v>
      </c>
      <c r="Q2" s="25">
        <f>'Section-Category'!S9</f>
        <v>46128</v>
      </c>
      <c r="R2" s="25">
        <f>'Section-Category'!T9</f>
        <v>46129</v>
      </c>
      <c r="S2" s="25">
        <f>'Section-Category'!U9</f>
        <v>46130</v>
      </c>
      <c r="T2" s="25">
        <f>'Section-Category'!V9</f>
        <v>46131</v>
      </c>
      <c r="U2" s="25">
        <f>'Section-Category'!W9</f>
        <v>46132</v>
      </c>
      <c r="V2" s="25">
        <f>'Section-Category'!X9</f>
        <v>46133</v>
      </c>
      <c r="W2" s="25">
        <f>'Section-Category'!Y9</f>
        <v>46134</v>
      </c>
      <c r="X2" s="25">
        <f>'Section-Category'!Z9</f>
        <v>46135</v>
      </c>
      <c r="Y2" s="25">
        <f>'Section-Category'!AA9</f>
        <v>46136</v>
      </c>
      <c r="Z2" s="25">
        <f>'Section-Category'!AB9</f>
        <v>46137</v>
      </c>
      <c r="AA2" s="25">
        <f>'Section-Category'!AC9</f>
        <v>46138</v>
      </c>
      <c r="AB2" s="25">
        <f>'Section-Category'!AD9</f>
        <v>46139</v>
      </c>
      <c r="AC2" s="25">
        <f>'Section-Category'!AE9</f>
        <v>46140</v>
      </c>
      <c r="AD2" s="25">
        <f>'Section-Category'!AF9</f>
        <v>46141</v>
      </c>
      <c r="AE2" s="25">
        <f>'Section-Category'!AG9</f>
        <v>46142</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49</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94"/>
  <sheetViews>
    <sheetView zoomScale="111" zoomScaleNormal="111" topLeftCell="A55" workbookViewId="0">
      <selection activeCell="H140" sqref="B140:H145"/>
    </sheetView>
  </sheetViews>
  <sheetFormatPr defaultColWidth="9.00833333333333" defaultRowHeight="16.8" customHeight="1"/>
  <cols>
    <col min="1" max="1" width="24.5" customWidth="1"/>
    <col min="2" max="2" width="13.0666666666667" customWidth="1"/>
    <col min="3" max="32" width="12.1916666666667" customWidth="1"/>
    <col min="33" max="33" width="15.8833333333333" customWidth="1"/>
    <col min="34" max="34" width="10.1166666666667" customWidth="1"/>
    <col min="39" max="39" width="24.5" customWidth="1"/>
    <col min="40" max="40" width="12.6916666666667" customWidth="1"/>
    <col min="41" max="41" width="10" customWidth="1"/>
  </cols>
  <sheetData>
    <row r="1" ht="22.5" customHeight="1" spans="1:34">
      <c r="A1" s="23" t="str">
        <f ca="1">MID(CELL("filename",A1),FIND("]",CELL("filename",A1))+1,255)</f>
        <v>May</v>
      </c>
      <c r="B1" s="2">
        <f>Budget!D1</f>
        <v>2026</v>
      </c>
    </row>
    <row r="2" s="22" customFormat="1" ht="18" customHeight="1" spans="1:34">
      <c r="A2" s="24" t="s">
        <v>6</v>
      </c>
      <c r="B2" s="25">
        <f>'Section-Category'!D10</f>
        <v>46143</v>
      </c>
      <c r="C2" s="25">
        <f>'Section-Category'!E10</f>
        <v>46144</v>
      </c>
      <c r="D2" s="25">
        <f>'Section-Category'!F10</f>
        <v>46145</v>
      </c>
      <c r="E2" s="25">
        <f>'Section-Category'!G10</f>
        <v>46146</v>
      </c>
      <c r="F2" s="25">
        <f>'Section-Category'!H10</f>
        <v>46147</v>
      </c>
      <c r="G2" s="25">
        <f>'Section-Category'!I10</f>
        <v>46148</v>
      </c>
      <c r="H2" s="25">
        <f>'Section-Category'!J10</f>
        <v>46149</v>
      </c>
      <c r="I2" s="25">
        <f>'Section-Category'!K10</f>
        <v>46150</v>
      </c>
      <c r="J2" s="25">
        <f>'Section-Category'!L10</f>
        <v>46151</v>
      </c>
      <c r="K2" s="25">
        <f>'Section-Category'!M10</f>
        <v>46152</v>
      </c>
      <c r="L2" s="25">
        <f>'Section-Category'!N10</f>
        <v>46153</v>
      </c>
      <c r="M2" s="25">
        <f>'Section-Category'!O10</f>
        <v>46154</v>
      </c>
      <c r="N2" s="25">
        <f>'Section-Category'!P10</f>
        <v>46155</v>
      </c>
      <c r="O2" s="25">
        <f>'Section-Category'!Q10</f>
        <v>46156</v>
      </c>
      <c r="P2" s="25">
        <f>'Section-Category'!R10</f>
        <v>46157</v>
      </c>
      <c r="Q2" s="25">
        <f>'Section-Category'!S10</f>
        <v>46158</v>
      </c>
      <c r="R2" s="25">
        <f>'Section-Category'!T10</f>
        <v>46159</v>
      </c>
      <c r="S2" s="25">
        <f>'Section-Category'!U10</f>
        <v>46160</v>
      </c>
      <c r="T2" s="25">
        <f>'Section-Category'!V10</f>
        <v>46161</v>
      </c>
      <c r="U2" s="25">
        <f>'Section-Category'!W10</f>
        <v>46162</v>
      </c>
      <c r="V2" s="25">
        <f>'Section-Category'!X10</f>
        <v>46163</v>
      </c>
      <c r="W2" s="25">
        <f>'Section-Category'!Y10</f>
        <v>46164</v>
      </c>
      <c r="X2" s="25">
        <f>'Section-Category'!Z10</f>
        <v>46165</v>
      </c>
      <c r="Y2" s="25">
        <f>'Section-Category'!AA10</f>
        <v>46166</v>
      </c>
      <c r="Z2" s="25">
        <f>'Section-Category'!AB10</f>
        <v>46167</v>
      </c>
      <c r="AA2" s="25">
        <f>'Section-Category'!AC10</f>
        <v>46168</v>
      </c>
      <c r="AB2" s="25">
        <f>'Section-Category'!AD10</f>
        <v>46169</v>
      </c>
      <c r="AC2" s="25">
        <f>'Section-Category'!AE10</f>
        <v>46170</v>
      </c>
      <c r="AD2" s="25">
        <f>'Section-Category'!AF10</f>
        <v>46171</v>
      </c>
      <c r="AE2" s="25">
        <f>'Section-Category'!AG10</f>
        <v>46172</v>
      </c>
      <c r="AF2" s="25">
        <f>'Section-Category'!AH10</f>
        <v>46173</v>
      </c>
      <c r="AG2" s="25">
        <f>'Section-Category'!AI10</f>
        <v>0</v>
      </c>
      <c r="AH2" s="26" t="s">
        <v>38</v>
      </c>
    </row>
    <row r="3" s="22" customFormat="1" spans="1:34">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row>
    <row r="4" s="22" customFormat="1" spans="1:34">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t="s">
        <v>19</v>
      </c>
    </row>
    <row r="5" s="22" customFormat="1" spans="1:34">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1">
        <f t="shared" ref="AH5:AH11" si="0">SUM(B5:AG5)</f>
        <v>0</v>
      </c>
    </row>
    <row r="6" s="22" customFormat="1" spans="1:34">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1">
        <f t="shared" si="0"/>
        <v>0</v>
      </c>
    </row>
    <row r="7" s="22" customFormat="1" spans="1:34">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1">
        <f t="shared" si="0"/>
        <v>0</v>
      </c>
    </row>
    <row r="8" s="22" customFormat="1" spans="1:34">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1">
        <f t="shared" si="0"/>
        <v>0</v>
      </c>
    </row>
    <row r="9" s="22" customFormat="1" spans="1:34">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1">
        <f t="shared" si="0"/>
        <v>0</v>
      </c>
    </row>
    <row r="10" s="22" customFormat="1" spans="1:34">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1">
        <f t="shared" si="0"/>
        <v>0</v>
      </c>
    </row>
    <row r="11" s="22" customFormat="1" ht="17.25" customHeight="1" spans="1:34">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1">
        <f t="shared" si="0"/>
        <v>0</v>
      </c>
    </row>
    <row r="12" s="22" customFormat="1" ht="18" customHeight="1" spans="1:34">
      <c r="A12" s="6" t="str">
        <f>'Section-Category'!A9</f>
        <v>Total INCOME</v>
      </c>
      <c r="B12" s="32">
        <f t="shared" ref="B12:AE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c r="AG12" s="32">
        <f>SUM(AG5:AG11)</f>
        <v>0</v>
      </c>
      <c r="AH12" s="32">
        <f>SUM(AH5:AH11)</f>
        <v>0</v>
      </c>
    </row>
    <row r="13" s="22" customFormat="1" spans="1:34">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row>
    <row r="14" s="22" customFormat="1" spans="1:34">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t="s">
        <v>19</v>
      </c>
    </row>
    <row r="15" s="22" customFormat="1" spans="1:34">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1">
        <f t="shared" ref="AH15:AH22" si="2">SUM(B15:AG15)</f>
        <v>0</v>
      </c>
    </row>
    <row r="16" s="22" customFormat="1" spans="1:34">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1">
        <f t="shared" si="2"/>
        <v>0</v>
      </c>
    </row>
    <row r="17" s="22" customFormat="1" spans="1:34">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1">
        <f t="shared" si="2"/>
        <v>0</v>
      </c>
    </row>
    <row r="18" s="22" customFormat="1" spans="1:34">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1">
        <f t="shared" si="2"/>
        <v>0</v>
      </c>
    </row>
    <row r="19" s="22" customFormat="1" spans="1:34">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1">
        <f t="shared" si="2"/>
        <v>0</v>
      </c>
    </row>
    <row r="20" s="22" customFormat="1" spans="1:34">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1">
        <f t="shared" si="2"/>
        <v>0</v>
      </c>
    </row>
    <row r="21" s="22" customFormat="1" spans="1:34">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1">
        <f t="shared" si="2"/>
        <v>0</v>
      </c>
    </row>
    <row r="22" s="22" customFormat="1" ht="17.25" customHeight="1" spans="1:34">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1">
        <f t="shared" si="2"/>
        <v>0</v>
      </c>
    </row>
    <row r="23" s="22" customFormat="1" ht="17.25" customHeight="1" spans="1:34">
      <c r="A23" s="38" t="str">
        <f>'Section-Category'!A91</f>
        <v>Total Petty Cash Used</v>
      </c>
      <c r="B23" s="39">
        <f t="shared" ref="B23:AE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c r="AG23" s="39">
        <f>SUM(AG15:AG22)</f>
        <v>0</v>
      </c>
      <c r="AH23" s="39">
        <f>SUM(AH15:AH22)</f>
        <v>0</v>
      </c>
    </row>
    <row r="24" s="22" customFormat="1" spans="1:34">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spans="1:34">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t="s">
        <v>34</v>
      </c>
    </row>
    <row r="26" spans="1:34">
      <c r="A26" s="9" t="str">
        <f>'Section-Category'!A12</f>
        <v>Emergency Fund</v>
      </c>
      <c r="B26" s="37"/>
      <c r="C26" s="37"/>
      <c r="D26" s="37"/>
      <c r="E26" s="37"/>
      <c r="F26" s="37"/>
      <c r="G26" s="37"/>
      <c r="H26" s="37"/>
      <c r="I26" s="37"/>
      <c r="J26" s="37"/>
      <c r="K26" s="37"/>
      <c r="L26" s="37"/>
      <c r="AH26" s="31">
        <f>SUM(B26:AG26)</f>
        <v>0</v>
      </c>
    </row>
    <row r="27" spans="1:34">
      <c r="A27" s="9" t="str">
        <f>'Section-Category'!A13</f>
        <v>Investments</v>
      </c>
      <c r="B27" s="37"/>
      <c r="C27" s="37"/>
      <c r="D27" s="37"/>
      <c r="E27" s="37"/>
      <c r="F27" s="37"/>
      <c r="G27" s="37"/>
      <c r="H27" s="37"/>
      <c r="I27" s="37"/>
      <c r="J27" s="37"/>
      <c r="K27" s="37"/>
      <c r="L27" s="37"/>
      <c r="AH27" s="31">
        <f>SUM(B27:AG27)</f>
        <v>0</v>
      </c>
    </row>
    <row r="28" spans="1:34">
      <c r="A28" s="9" t="str">
        <f>'Section-Category'!A14</f>
        <v>Pocket Money Wife</v>
      </c>
      <c r="C28" s="37"/>
      <c r="D28" s="37"/>
      <c r="F28" s="37"/>
      <c r="G28" s="37"/>
      <c r="H28" s="37"/>
      <c r="I28" s="37"/>
      <c r="J28" s="37"/>
      <c r="K28" s="37"/>
      <c r="L28" s="37"/>
      <c r="AH28" s="31">
        <f>SUM(B28:AG28)</f>
        <v>0</v>
      </c>
    </row>
    <row r="29" spans="1:34">
      <c r="A29" s="9" t="str">
        <f>'Section-Category'!A15</f>
        <v>&lt;Name-Of-Entry&gt;</v>
      </c>
      <c r="C29" s="37"/>
      <c r="D29" s="37"/>
      <c r="F29" s="37"/>
      <c r="G29" s="37"/>
      <c r="H29" s="37"/>
      <c r="I29" s="37"/>
      <c r="J29" s="37"/>
      <c r="K29" s="37"/>
      <c r="L29" s="37"/>
      <c r="AH29" s="31">
        <f>SUM(B29:AG29)</f>
        <v>0</v>
      </c>
    </row>
    <row r="30" ht="17.25" customHeight="1" spans="1:34">
      <c r="A30" s="9" t="str">
        <f>'Section-Category'!A16</f>
        <v>&lt;Name-Of-Entry&gt;</v>
      </c>
      <c r="B30" s="37"/>
      <c r="C30" s="37"/>
      <c r="D30" s="37"/>
      <c r="F30" s="37"/>
      <c r="G30" s="37"/>
      <c r="H30" s="37"/>
      <c r="I30" s="37"/>
      <c r="J30" s="37"/>
      <c r="K30" s="37"/>
      <c r="L30" s="37"/>
      <c r="AH30" s="31">
        <f>SUM(B30:AG30)</f>
        <v>0</v>
      </c>
    </row>
    <row r="31" ht="17.25" customHeight="1" spans="1:34">
      <c r="A31" s="38" t="str">
        <f>'Section-Category'!A17</f>
        <v>Total SAVINGS EXPENSE</v>
      </c>
      <c r="B31" s="39">
        <f t="shared" ref="B31:AE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c r="AG31" s="39">
        <f>SUM(AG26:AG30)</f>
        <v>0</v>
      </c>
      <c r="AH31" s="39">
        <f>SUM(AH26:AH30)</f>
        <v>0</v>
      </c>
    </row>
    <row r="32" spans="1:34">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row>
    <row r="33" spans="1:34">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t="s">
        <v>34</v>
      </c>
    </row>
    <row r="34" spans="1:34">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1">
        <f t="shared" ref="AH34:AH46" si="5">SUM(B34:AG34)</f>
        <v>0</v>
      </c>
    </row>
    <row r="35" spans="1:34">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1">
        <f t="shared" si="5"/>
        <v>0</v>
      </c>
    </row>
    <row r="36" spans="1:34">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1">
        <f t="shared" si="5"/>
        <v>0</v>
      </c>
    </row>
    <row r="37" spans="1:34">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1">
        <f t="shared" si="5"/>
        <v>0</v>
      </c>
    </row>
    <row r="38" spans="1:34">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1">
        <f t="shared" si="5"/>
        <v>0</v>
      </c>
    </row>
    <row r="39" spans="1:34">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1">
        <f t="shared" si="5"/>
        <v>0</v>
      </c>
    </row>
    <row r="40" spans="1:34">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1">
        <f t="shared" si="5"/>
        <v>0</v>
      </c>
    </row>
    <row r="41" spans="1:34">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1">
        <f t="shared" si="5"/>
        <v>0</v>
      </c>
    </row>
    <row r="42" spans="1:34">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1">
        <f t="shared" si="5"/>
        <v>0</v>
      </c>
    </row>
    <row r="43" spans="1:34">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1">
        <f t="shared" si="5"/>
        <v>0</v>
      </c>
    </row>
    <row r="44" spans="1:34">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1">
        <f t="shared" si="5"/>
        <v>0</v>
      </c>
    </row>
    <row r="45" spans="1:34">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1">
        <f t="shared" si="5"/>
        <v>0</v>
      </c>
    </row>
    <row r="46" ht="17.25" customHeight="1" spans="1:34">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1">
        <f t="shared" si="5"/>
        <v>0</v>
      </c>
    </row>
    <row r="47" ht="17.25" customHeight="1" spans="1:34">
      <c r="A47" s="38" t="str">
        <f>'Section-Category'!A34</f>
        <v>Total HOME EXPENSES</v>
      </c>
      <c r="B47" s="39">
        <f t="shared" ref="B47:AE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c r="AG47" s="39">
        <f>SUM(AG34:AG46)</f>
        <v>0</v>
      </c>
      <c r="AH47" s="39">
        <f>SUM(AH34:AH46)</f>
        <v>0</v>
      </c>
    </row>
    <row r="48" spans="1:34">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row>
    <row r="49" spans="1:34">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t="s">
        <v>34</v>
      </c>
    </row>
    <row r="50" spans="1:34">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1">
        <f t="shared" ref="AH50:AH59" si="7">SUM(B50:AG50)</f>
        <v>0</v>
      </c>
    </row>
    <row r="51" spans="1:34">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1">
        <f t="shared" si="7"/>
        <v>0</v>
      </c>
    </row>
    <row r="52" spans="1:34">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1">
        <f t="shared" si="7"/>
        <v>0</v>
      </c>
    </row>
    <row r="53" spans="1:34">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1">
        <f t="shared" si="7"/>
        <v>0</v>
      </c>
    </row>
    <row r="54" spans="1:34">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1">
        <f t="shared" si="7"/>
        <v>0</v>
      </c>
    </row>
    <row r="55" spans="1:34">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1">
        <f t="shared" si="7"/>
        <v>0</v>
      </c>
    </row>
    <row r="56" spans="1:34">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1">
        <f t="shared" si="7"/>
        <v>0</v>
      </c>
    </row>
    <row r="57" spans="1:34">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1">
        <f t="shared" si="7"/>
        <v>0</v>
      </c>
    </row>
    <row r="58" spans="1:34">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1">
        <f t="shared" si="7"/>
        <v>0</v>
      </c>
    </row>
    <row r="59" ht="17.25" customHeight="1" spans="1:34">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1">
        <f t="shared" si="7"/>
        <v>0</v>
      </c>
    </row>
    <row r="60" ht="17.25" customHeight="1" spans="1:34">
      <c r="A60" s="38" t="str">
        <f>'Section-Category'!A48</f>
        <v>Total DAILY LIVING</v>
      </c>
      <c r="B60" s="39">
        <f t="shared" ref="B60:AE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c r="AG60" s="39">
        <f>SUM(AG50:AG59)</f>
        <v>0</v>
      </c>
      <c r="AH60" s="39">
        <f>SUM(AH50:AH59)</f>
        <v>0</v>
      </c>
    </row>
    <row r="61" spans="1:34">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row>
    <row r="62" spans="1:34">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t="s">
        <v>34</v>
      </c>
    </row>
    <row r="63" spans="1:34">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1">
        <f t="shared" ref="AH63:AH70" si="9">SUM(B63:AG63)</f>
        <v>0</v>
      </c>
    </row>
    <row r="64" spans="1:34">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1">
        <f t="shared" si="9"/>
        <v>0</v>
      </c>
    </row>
    <row r="65" spans="1:34">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1">
        <f t="shared" si="9"/>
        <v>0</v>
      </c>
    </row>
    <row r="66" spans="1:34">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1">
        <f t="shared" si="9"/>
        <v>0</v>
      </c>
    </row>
    <row r="67" spans="1:34">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1">
        <f t="shared" si="9"/>
        <v>0</v>
      </c>
    </row>
    <row r="68" spans="1:34">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1">
        <f t="shared" si="9"/>
        <v>0</v>
      </c>
    </row>
    <row r="69" spans="1:34">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1">
        <f t="shared" si="9"/>
        <v>0</v>
      </c>
    </row>
    <row r="70" ht="17.25" customHeight="1" spans="1:34">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1">
        <f t="shared" si="9"/>
        <v>0</v>
      </c>
    </row>
    <row r="71" ht="17.25" customHeight="1" spans="1:34">
      <c r="A71" s="38" t="str">
        <f>'Section-Category'!A60</f>
        <v>Total CHILDREN</v>
      </c>
      <c r="B71" s="39">
        <f t="shared" ref="B71:AE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c r="AG71" s="39">
        <f>SUM(AG63:AG70)</f>
        <v>0</v>
      </c>
      <c r="AH71" s="39">
        <f>SUM(AH63:AH70)</f>
        <v>0</v>
      </c>
    </row>
    <row r="72" spans="1:34">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row>
    <row r="73" spans="1:34">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t="s">
        <v>34</v>
      </c>
    </row>
    <row r="74" spans="1:34">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1">
        <f t="shared" ref="AH74:AH79" si="11">SUM(B74:AG74)</f>
        <v>0</v>
      </c>
    </row>
    <row r="75" spans="1:34">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1">
        <f t="shared" si="11"/>
        <v>0</v>
      </c>
    </row>
    <row r="76" spans="1:34">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1">
        <f t="shared" si="11"/>
        <v>0</v>
      </c>
    </row>
    <row r="77" spans="1:34">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1">
        <f t="shared" si="11"/>
        <v>0</v>
      </c>
    </row>
    <row r="78" spans="1:34">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1">
        <f t="shared" si="11"/>
        <v>0</v>
      </c>
    </row>
    <row r="79" ht="17.25" customHeight="1" spans="1:34">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1">
        <f t="shared" si="11"/>
        <v>0</v>
      </c>
    </row>
    <row r="80" ht="17.25" customHeight="1" spans="1:34">
      <c r="A80" s="38" t="str">
        <f>'Section-Category'!A70</f>
        <v>Total TRANSPORTATION</v>
      </c>
      <c r="B80" s="39">
        <f t="shared" ref="B80:AE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c r="AG80" s="39">
        <f>SUM(AG74:AG79)</f>
        <v>0</v>
      </c>
      <c r="AH80" s="39">
        <f>SUM(AH74:AH79)</f>
        <v>0</v>
      </c>
    </row>
    <row r="81" spans="1:34">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row>
    <row r="82" spans="1:34">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t="s">
        <v>34</v>
      </c>
    </row>
    <row r="83" spans="1:34">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1">
        <f>SUM(B83:AG83)</f>
        <v>0</v>
      </c>
    </row>
    <row r="84" spans="1:34">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1">
        <f>SUM(B84:AG84)</f>
        <v>0</v>
      </c>
    </row>
    <row r="85" spans="1:34">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1">
        <f>SUM(B85:AG85)</f>
        <v>0</v>
      </c>
    </row>
    <row r="86" spans="1:34">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1">
        <f>SUM(B86:AG86)</f>
        <v>0</v>
      </c>
    </row>
    <row r="87" ht="17.25" customHeight="1" spans="1:34">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1">
        <f>SUM(B87:AG87)</f>
        <v>0</v>
      </c>
    </row>
    <row r="88" ht="17.25" customHeight="1" spans="1:34">
      <c r="A88" s="38" t="str">
        <f>'Section-Category'!A79</f>
        <v>Total HEALTH</v>
      </c>
      <c r="B88" s="39">
        <f t="shared" ref="B88:AE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c r="AG88" s="39">
        <f>SUM(AG83:AG87)</f>
        <v>0</v>
      </c>
      <c r="AH88" s="39">
        <f>SUM(AH83:AH87)</f>
        <v>0</v>
      </c>
    </row>
    <row r="90" spans="1:34">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t="s">
        <v>34</v>
      </c>
    </row>
    <row r="91" spans="1:34">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1">
        <f>SUM(B91:AG91)</f>
        <v>0</v>
      </c>
    </row>
    <row r="92" spans="1:34">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1">
        <f>SUM(B92:AG92)</f>
        <v>0</v>
      </c>
    </row>
    <row r="93" spans="1:34">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1">
        <f>SUM(B93:AG93)</f>
        <v>0</v>
      </c>
    </row>
    <row r="94" ht="17.25" customHeight="1" spans="1:34">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1">
        <f>SUM(B94:AG94)</f>
        <v>0</v>
      </c>
    </row>
    <row r="95" ht="17.25" customHeight="1" spans="1:34">
      <c r="A95" s="38" t="str">
        <f>'Section-Category'!A99</f>
        <v>Total EDUCATION</v>
      </c>
      <c r="B95" s="42">
        <f t="shared" ref="B95:AE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c r="AG95" s="42">
        <f>SUM(AG91:AG94)</f>
        <v>0</v>
      </c>
      <c r="AH95" s="42">
        <f>SUM(AH91:AH94)</f>
        <v>0</v>
      </c>
    </row>
    <row r="96" spans="1:34">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row>
    <row r="97" spans="1:34">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t="s">
        <v>34</v>
      </c>
    </row>
    <row r="98" spans="1:34">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1">
        <f>SUM(B98:AG98)</f>
        <v>0</v>
      </c>
    </row>
    <row r="99" spans="1:34">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1">
        <f>SUM(B99:AG99)</f>
        <v>0</v>
      </c>
    </row>
    <row r="100" spans="1:34">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1">
        <f>SUM(B100:AG100)</f>
        <v>0</v>
      </c>
    </row>
    <row r="101" ht="17.25" customHeight="1" spans="1:34">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1">
        <f>SUM(B101:AG101)</f>
        <v>0</v>
      </c>
    </row>
    <row r="102" ht="17.25" customHeight="1" spans="1:34">
      <c r="A102" s="38" t="str">
        <f>'Section-Category'!A107</f>
        <v>Total CHARITY/GIFTS</v>
      </c>
      <c r="B102" s="42">
        <f t="shared" ref="B102:AE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c r="AG102" s="42">
        <f>SUM(AG98:AG101)</f>
        <v>0</v>
      </c>
      <c r="AH102" s="42">
        <f>SUM(AH98:AH101)</f>
        <v>0</v>
      </c>
    </row>
    <row r="103" spans="1:34">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spans="1:34">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t="s">
        <v>34</v>
      </c>
    </row>
    <row r="105" spans="1:34">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1">
        <f>SUM(B105:AG105)</f>
        <v>0</v>
      </c>
    </row>
    <row r="106" spans="1:34">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1">
        <f>SUM(B106:AG106)</f>
        <v>0</v>
      </c>
    </row>
    <row r="107" spans="1:34">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1">
        <f>SUM(B107:AG107)</f>
        <v>0</v>
      </c>
    </row>
    <row r="108" ht="17.25" customHeight="1" spans="1:34">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1">
        <f>SUM(B108:AG108)</f>
        <v>0</v>
      </c>
    </row>
    <row r="109" ht="17.25" customHeight="1" spans="1:34">
      <c r="A109" s="38" t="str">
        <f>'Section-Category'!A115</f>
        <v>Total OBLIGATIONS</v>
      </c>
      <c r="B109" s="39">
        <f t="shared" ref="B109:AE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c r="AG109" s="39">
        <f>SUM(AG105:AG108)</f>
        <v>0</v>
      </c>
      <c r="AH109" s="39">
        <f>SUM(AH105:AH108)</f>
        <v>0</v>
      </c>
    </row>
    <row r="110" spans="1:34">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row>
    <row r="111" spans="1:34">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row>
    <row r="112" spans="1:34">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1"/>
    </row>
    <row r="113" spans="1:34">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1"/>
    </row>
    <row r="114" spans="1:34">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1"/>
    </row>
    <row r="115" ht="17.25" customHeight="1" spans="1:34">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1"/>
    </row>
    <row r="116" ht="17.25" customHeight="1" spans="1:34">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row>
    <row r="117" spans="1:34">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spans="1:34">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t="s">
        <v>34</v>
      </c>
    </row>
    <row r="119" spans="1:34">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1">
        <f t="shared" ref="AH119:AH129" si="17">SUM(B119:AG119)</f>
        <v>0</v>
      </c>
    </row>
    <row r="120" spans="1:34">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1">
        <f t="shared" si="17"/>
        <v>0</v>
      </c>
    </row>
    <row r="121" spans="1:34">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1">
        <f t="shared" si="17"/>
        <v>0</v>
      </c>
    </row>
    <row r="122" spans="1:34">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1">
        <f t="shared" si="17"/>
        <v>0</v>
      </c>
    </row>
    <row r="123" spans="1:34">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1">
        <f t="shared" si="17"/>
        <v>0</v>
      </c>
    </row>
    <row r="124" spans="1:34">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1">
        <f t="shared" si="17"/>
        <v>0</v>
      </c>
    </row>
    <row r="125" spans="1:34">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1">
        <f t="shared" si="17"/>
        <v>0</v>
      </c>
    </row>
    <row r="126" spans="1:34">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1">
        <f t="shared" si="17"/>
        <v>0</v>
      </c>
    </row>
    <row r="127" spans="1:34">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1">
        <f t="shared" si="17"/>
        <v>0</v>
      </c>
    </row>
    <row r="128" spans="1:34">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1">
        <f t="shared" si="17"/>
        <v>0</v>
      </c>
    </row>
    <row r="129" ht="17.25" customHeight="1" spans="1:39">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1">
        <f t="shared" si="17"/>
        <v>0</v>
      </c>
    </row>
    <row r="130" ht="17.25" customHeight="1" spans="1:39">
      <c r="A130" s="38" t="str">
        <f>'Section-Category'!A138</f>
        <v>Total ENTERTAINMENT</v>
      </c>
      <c r="B130" s="39">
        <f t="shared" ref="B130:AE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c r="AG130" s="39">
        <f>SUM(AG119:AG129)</f>
        <v>0</v>
      </c>
      <c r="AH130" s="39">
        <f>SUM(AH119:AH129)</f>
        <v>0</v>
      </c>
    </row>
    <row r="131" spans="1:39">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43"/>
    </row>
    <row r="132" spans="1:39">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row>
    <row r="133" spans="1:39">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1"/>
    </row>
    <row r="134" spans="1:39">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1"/>
    </row>
    <row r="135" spans="1:39">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1"/>
    </row>
    <row r="136" ht="17.25" customHeight="1" spans="1:39">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1"/>
    </row>
    <row r="137" ht="17.25" customHeight="1" spans="1:39">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row>
    <row r="138" spans="1:39">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spans="1:39">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t="s">
        <v>34</v>
      </c>
    </row>
    <row r="140" spans="1:39">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1">
        <f t="shared" ref="AH140:AH145" si="19">SUM(B140:AG140)</f>
        <v>0</v>
      </c>
    </row>
    <row r="141" spans="1:39">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1">
        <f t="shared" si="19"/>
        <v>0</v>
      </c>
    </row>
    <row r="142" spans="1:39">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1">
        <f t="shared" si="19"/>
        <v>0</v>
      </c>
    </row>
    <row r="143" spans="1:39">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1">
        <f t="shared" si="19"/>
        <v>0</v>
      </c>
    </row>
    <row r="144" spans="1:39">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1">
        <f t="shared" si="19"/>
        <v>0</v>
      </c>
      <c r="AM144" s="44"/>
    </row>
    <row r="145" ht="17.25" customHeight="1" spans="1:34">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1">
        <f t="shared" si="19"/>
        <v>0</v>
      </c>
    </row>
    <row r="146" ht="17.25" customHeight="1" spans="1:34">
      <c r="A146" s="38" t="str">
        <f>'Section-Category'!A156</f>
        <v>Total SUBSCRIPTIONS</v>
      </c>
      <c r="B146" s="39">
        <f t="shared" ref="B146:AE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c r="AG146" s="39">
        <f>SUM(AG140:AG145)</f>
        <v>0</v>
      </c>
      <c r="AH146" s="39">
        <f>SUM(AH140:AH145)</f>
        <v>0</v>
      </c>
    </row>
    <row r="147" spans="1:34">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spans="1:34">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t="s">
        <v>34</v>
      </c>
    </row>
    <row r="149" spans="1:34">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1">
        <f t="shared" ref="AH149:AH154" si="21">SUM(B149:AG149)</f>
        <v>0</v>
      </c>
    </row>
    <row r="150" spans="1:34">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1">
        <f t="shared" si="21"/>
        <v>0</v>
      </c>
    </row>
    <row r="151" spans="1:34">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1">
        <f t="shared" si="21"/>
        <v>0</v>
      </c>
    </row>
    <row r="152" spans="1:34">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1">
        <f t="shared" si="21"/>
        <v>0</v>
      </c>
    </row>
    <row r="153" spans="1:34">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1">
        <f t="shared" si="21"/>
        <v>0</v>
      </c>
    </row>
    <row r="154" ht="17.25" customHeight="1" spans="1:34">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1">
        <f t="shared" si="21"/>
        <v>0</v>
      </c>
    </row>
    <row r="155" ht="17.25" customHeight="1" spans="1:34">
      <c r="A155" s="38" t="str">
        <f>'Section-Category'!A166</f>
        <v>Total VACATION</v>
      </c>
      <c r="B155" s="39">
        <f t="shared" ref="B155:AE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c r="AG155" s="39">
        <f>SUM(AG149:AG154)</f>
        <v>0</v>
      </c>
      <c r="AH155" s="39">
        <f>SUM(AH149:AH154)</f>
        <v>0</v>
      </c>
    </row>
    <row r="156" spans="1:34">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spans="1:34">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t="s">
        <v>34</v>
      </c>
    </row>
    <row r="158" spans="1:34">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1">
        <f>SUM(B158:AG158)</f>
        <v>0</v>
      </c>
    </row>
    <row r="159" spans="1:34">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1">
        <f>SUM(B159:AG159)</f>
        <v>0</v>
      </c>
    </row>
    <row r="160" spans="1:34">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1">
        <f>SUM(B160:AG160)</f>
        <v>0</v>
      </c>
    </row>
    <row r="161" spans="1:34">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1">
        <f>SUM(B161:AG161)</f>
        <v>0</v>
      </c>
    </row>
    <row r="162" ht="17.25" customHeight="1" spans="1:34">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1">
        <f>SUM(B162:AG162)</f>
        <v>0</v>
      </c>
    </row>
    <row r="163" ht="17.25" customHeight="1" spans="1:34">
      <c r="A163" s="38" t="str">
        <f>'Section-Category'!A175</f>
        <v>Total MISCELLANEOUS</v>
      </c>
      <c r="B163" s="39">
        <f t="shared" ref="B163:AE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c r="AG163" s="39">
        <f>SUM(AG158:AG162)</f>
        <v>0</v>
      </c>
      <c r="AH163" s="39">
        <f>SUM(AH158:AH162)</f>
        <v>0</v>
      </c>
    </row>
    <row r="164" spans="1:34">
      <c r="A164" s="44" t="s">
        <v>49</v>
      </c>
      <c r="B164" s="30">
        <f t="shared" ref="B164:AE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c r="AG164" s="30">
        <f>SUM(AG31,AG47,AG60,AG71,AG88,AG23,AG95,AG102,AG109,AG116,AG130,AG137,AG146,AG155,AG163)</f>
        <v>0</v>
      </c>
      <c r="AH164" s="30">
        <f>SUM(AH31,AH47,AH60,AH71,AH88,AH23,AH95,AH102,AH109,AH116,AH130,AH137,AH146,AH155,AH163)</f>
        <v>0</v>
      </c>
    </row>
    <row r="165" spans="1:34">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row>
    <row r="166" spans="1:34">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row>
    <row r="167" spans="1:34">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row>
    <row r="168" spans="1:34">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c r="AH168" s="46"/>
    </row>
    <row r="169" spans="1:34">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c r="AH169" s="46"/>
    </row>
    <row r="170" spans="1:34">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c r="AH170" s="46"/>
    </row>
    <row r="171" spans="1:34">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c r="AH171" s="46"/>
    </row>
    <row r="172" spans="1:34">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c r="AH172" s="46"/>
    </row>
    <row r="173" spans="1:34">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row>
    <row r="174" spans="1:34">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row>
    <row r="175" spans="1:34">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row>
    <row r="176" hidden="1" spans="1:34">
      <c r="A176" t="str">
        <f>'Section-Category'!A12</f>
        <v>Emergency Fund</v>
      </c>
      <c r="B176" t="e">
        <f t="shared" ref="B176:B239" si="25">ROUND(($C176/C$276)*100,2)</f>
        <v>#DIV/0!</v>
      </c>
      <c r="C176" s="51">
        <f>AH26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row>
    <row r="177" hidden="1" spans="1:34">
      <c r="A177" t="str">
        <f>'Section-Category'!A13</f>
        <v>Investments</v>
      </c>
      <c r="B177" t="e">
        <f t="shared" si="25"/>
        <v>#DIV/0!</v>
      </c>
      <c r="C177" s="51">
        <f>AH27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row>
    <row r="178" hidden="1" spans="1:34">
      <c r="A178" t="str">
        <f>'Section-Category'!A14</f>
        <v>Pocket Money Wife</v>
      </c>
      <c r="B178" t="e">
        <f t="shared" si="25"/>
        <v>#DIV/0!</v>
      </c>
      <c r="C178" s="51">
        <f>AH28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row>
    <row r="179" hidden="1" spans="1:34">
      <c r="A179" t="str">
        <f>'Section-Category'!A15</f>
        <v>&lt;Name-Of-Entry&gt;</v>
      </c>
      <c r="B179" t="e">
        <f t="shared" si="25"/>
        <v>#DIV/0!</v>
      </c>
      <c r="C179" s="51">
        <f>AH29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row>
    <row r="180" hidden="1" spans="1:34">
      <c r="A180" t="str">
        <f>'Section-Category'!A16</f>
        <v>&lt;Name-Of-Entry&gt;</v>
      </c>
      <c r="B180" t="e">
        <f t="shared" si="25"/>
        <v>#DIV/0!</v>
      </c>
      <c r="C180" s="51">
        <f>AH30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row>
    <row r="181" hidden="1" spans="1:34">
      <c r="A181" t="str">
        <f>'Section-Category'!A21</f>
        <v>Mortgage/Rent</v>
      </c>
      <c r="B181" t="e">
        <f t="shared" si="25"/>
        <v>#DIV/0!</v>
      </c>
      <c r="C181" s="51">
        <f t="shared" ref="C181:C193" si="26">AH34</f>
        <v>0</v>
      </c>
    </row>
    <row r="182" hidden="1" spans="1:34">
      <c r="A182" t="str">
        <f>'Section-Category'!A22</f>
        <v>Electricity</v>
      </c>
      <c r="B182" t="e">
        <f t="shared" si="25"/>
        <v>#DIV/0!</v>
      </c>
      <c r="C182" s="51">
        <f t="shared" si="26"/>
        <v>0</v>
      </c>
    </row>
    <row r="183" hidden="1" spans="1:34">
      <c r="A183" t="str">
        <f>'Section-Category'!A23</f>
        <v>Gas/Oil</v>
      </c>
      <c r="B183" t="e">
        <f t="shared" si="25"/>
        <v>#DIV/0!</v>
      </c>
      <c r="C183" s="51">
        <f t="shared" si="26"/>
        <v>0</v>
      </c>
    </row>
    <row r="184" hidden="1" spans="1:34">
      <c r="A184" t="str">
        <f>'Section-Category'!A24</f>
        <v>Water/Sewer/Trash</v>
      </c>
      <c r="B184" t="e">
        <f t="shared" si="25"/>
        <v>#DIV/0!</v>
      </c>
      <c r="C184" s="51">
        <f t="shared" si="26"/>
        <v>0</v>
      </c>
    </row>
    <row r="185" hidden="1" spans="1:34">
      <c r="A185" t="str">
        <f>'Section-Category'!A25</f>
        <v>Phone</v>
      </c>
      <c r="B185" t="e">
        <f t="shared" si="25"/>
        <v>#DIV/0!</v>
      </c>
      <c r="C185" s="51">
        <f t="shared" si="26"/>
        <v>0</v>
      </c>
    </row>
    <row r="186" hidden="1" spans="1:34">
      <c r="A186" t="str">
        <f>'Section-Category'!A26</f>
        <v>Cable/Satellite</v>
      </c>
      <c r="B186" t="e">
        <f t="shared" si="25"/>
        <v>#DIV/0!</v>
      </c>
      <c r="C186" s="51">
        <f t="shared" si="26"/>
        <v>0</v>
      </c>
    </row>
    <row r="187" hidden="1" spans="1:34">
      <c r="A187" t="str">
        <f>'Section-Category'!A27</f>
        <v>Internet</v>
      </c>
      <c r="B187" t="e">
        <f t="shared" si="25"/>
        <v>#DIV/0!</v>
      </c>
      <c r="C187" s="51">
        <f t="shared" si="26"/>
        <v>0</v>
      </c>
    </row>
    <row r="188" hidden="1" spans="1:34">
      <c r="A188" t="str">
        <f>'Section-Category'!A28</f>
        <v>Furnishings/Appliances</v>
      </c>
      <c r="B188" t="e">
        <f t="shared" si="25"/>
        <v>#DIV/0!</v>
      </c>
      <c r="C188" s="51">
        <f t="shared" si="26"/>
        <v>0</v>
      </c>
    </row>
    <row r="189" hidden="1" spans="1:34">
      <c r="A189" t="str">
        <f>'Section-Category'!A29</f>
        <v>Lawn/Garden</v>
      </c>
      <c r="B189" t="e">
        <f t="shared" si="25"/>
        <v>#DIV/0!</v>
      </c>
      <c r="C189" s="51">
        <f t="shared" si="26"/>
        <v>0</v>
      </c>
    </row>
    <row r="190" hidden="1" spans="1:34">
      <c r="A190" t="str">
        <f>'Section-Category'!A30</f>
        <v>Home Supplies</v>
      </c>
      <c r="B190" t="e">
        <f t="shared" si="25"/>
        <v>#DIV/0!</v>
      </c>
      <c r="C190" s="51">
        <f t="shared" si="26"/>
        <v>0</v>
      </c>
    </row>
    <row r="191" hidden="1" spans="1:34">
      <c r="A191" t="str">
        <f>'Section-Category'!A31</f>
        <v>Maintenance</v>
      </c>
      <c r="B191" t="e">
        <f t="shared" si="25"/>
        <v>#DIV/0!</v>
      </c>
      <c r="C191" s="51">
        <f t="shared" si="26"/>
        <v>0</v>
      </c>
    </row>
    <row r="192" hidden="1" spans="1:34">
      <c r="A192" t="str">
        <f>'Section-Category'!A32</f>
        <v>Improvements</v>
      </c>
      <c r="B192" t="e">
        <f t="shared" si="25"/>
        <v>#DIV/0!</v>
      </c>
      <c r="C192" s="51">
        <f t="shared" si="26"/>
        <v>0</v>
      </c>
    </row>
    <row r="193" hidden="1" spans="1:3">
      <c r="A193" t="str">
        <f>'Section-Category'!A33</f>
        <v>Other</v>
      </c>
      <c r="B193" t="e">
        <f t="shared" si="25"/>
        <v>#DIV/0!</v>
      </c>
      <c r="C193" s="51">
        <f t="shared" si="26"/>
        <v>0</v>
      </c>
    </row>
    <row r="194" hidden="1" spans="1:3">
      <c r="A194" t="str">
        <f>'Section-Category'!A38</f>
        <v>Groceries</v>
      </c>
      <c r="B194" t="e">
        <f t="shared" si="25"/>
        <v>#DIV/0!</v>
      </c>
      <c r="C194" s="51">
        <f t="shared" ref="C194:C203" si="27">AH50</f>
        <v>0</v>
      </c>
    </row>
    <row r="195" hidden="1" spans="1:3">
      <c r="A195" t="str">
        <f>'Section-Category'!A39</f>
        <v>Personal Supplies</v>
      </c>
      <c r="B195" t="e">
        <f t="shared" si="25"/>
        <v>#DIV/0!</v>
      </c>
      <c r="C195" s="51">
        <f t="shared" si="27"/>
        <v>0</v>
      </c>
    </row>
    <row r="196" hidden="1" spans="1:3">
      <c r="A196" t="str">
        <f>'Section-Category'!A40</f>
        <v>Clothing</v>
      </c>
      <c r="B196" t="e">
        <f t="shared" si="25"/>
        <v>#DIV/0!</v>
      </c>
      <c r="C196" s="51">
        <f t="shared" si="27"/>
        <v>0</v>
      </c>
    </row>
    <row r="197" hidden="1" spans="1:3">
      <c r="A197" t="str">
        <f>'Section-Category'!A41</f>
        <v>Cleaning Services</v>
      </c>
      <c r="B197" t="e">
        <f t="shared" si="25"/>
        <v>#DIV/0!</v>
      </c>
      <c r="C197" s="51">
        <f t="shared" si="27"/>
        <v>0</v>
      </c>
    </row>
    <row r="198" spans="1:3">
      <c r="A198" t="str">
        <f>'Section-Category'!A42</f>
        <v>Dining/Eating Out</v>
      </c>
      <c r="B198" t="e">
        <f t="shared" si="25"/>
        <v>#DIV/0!</v>
      </c>
      <c r="C198" s="51">
        <f t="shared" si="27"/>
        <v>0</v>
      </c>
    </row>
    <row r="199" hidden="1" spans="1:3">
      <c r="A199" t="str">
        <f>'Section-Category'!A43</f>
        <v>Dry Cleaning</v>
      </c>
      <c r="B199" t="e">
        <f t="shared" si="25"/>
        <v>#DIV/0!</v>
      </c>
      <c r="C199" s="51">
        <f t="shared" si="27"/>
        <v>0</v>
      </c>
    </row>
    <row r="200" hidden="1" spans="1:3">
      <c r="A200" t="str">
        <f>'Section-Category'!A44</f>
        <v>Salon/Barber</v>
      </c>
      <c r="B200" t="e">
        <f t="shared" si="25"/>
        <v>#DIV/0!</v>
      </c>
      <c r="C200" s="51">
        <f t="shared" si="27"/>
        <v>0</v>
      </c>
    </row>
    <row r="201" spans="1:3">
      <c r="A201" t="str">
        <f>'Section-Category'!A45</f>
        <v>FoodPanda</v>
      </c>
      <c r="B201" t="e">
        <f t="shared" si="25"/>
        <v>#DIV/0!</v>
      </c>
      <c r="C201" s="51">
        <f t="shared" si="27"/>
        <v>0</v>
      </c>
    </row>
    <row r="202" spans="1:3">
      <c r="A202" t="str">
        <f>'Section-Category'!A46</f>
        <v>JazzCash/EasyPaisa</v>
      </c>
      <c r="B202" t="e">
        <f t="shared" si="25"/>
        <v>#DIV/0!</v>
      </c>
      <c r="C202" s="51">
        <f t="shared" si="27"/>
        <v>0</v>
      </c>
    </row>
    <row r="203" hidden="1" spans="1:3">
      <c r="A203" t="str">
        <f>'Section-Category'!A47</f>
        <v>Other</v>
      </c>
      <c r="B203" t="e">
        <f t="shared" si="25"/>
        <v>#DIV/0!</v>
      </c>
      <c r="C203" s="51">
        <f t="shared" si="27"/>
        <v>0</v>
      </c>
    </row>
    <row r="204" hidden="1" spans="1:3">
      <c r="A204" t="str">
        <f>'Section-Category'!A52</f>
        <v>Medical</v>
      </c>
      <c r="B204" t="e">
        <f t="shared" si="25"/>
        <v>#DIV/0!</v>
      </c>
      <c r="C204" s="51">
        <f t="shared" ref="C204:C211" si="28">AH63</f>
        <v>0</v>
      </c>
    </row>
    <row r="205" hidden="1" spans="1:3">
      <c r="A205" t="str">
        <f>'Section-Category'!A53</f>
        <v>Clothing</v>
      </c>
      <c r="B205" t="e">
        <f t="shared" si="25"/>
        <v>#DIV/0!</v>
      </c>
      <c r="C205" s="51">
        <f t="shared" si="28"/>
        <v>0</v>
      </c>
    </row>
    <row r="206" hidden="1" spans="1:3">
      <c r="A206" t="str">
        <f>'Section-Category'!A54</f>
        <v>School Tuition</v>
      </c>
      <c r="B206" t="e">
        <f t="shared" si="25"/>
        <v>#DIV/0!</v>
      </c>
      <c r="C206" s="51">
        <f t="shared" si="28"/>
        <v>0</v>
      </c>
    </row>
    <row r="207" hidden="1" spans="1:3">
      <c r="A207" t="str">
        <f>'Section-Category'!A55</f>
        <v>School Lunch</v>
      </c>
      <c r="B207" t="e">
        <f t="shared" si="25"/>
        <v>#DIV/0!</v>
      </c>
      <c r="C207" s="51">
        <f t="shared" si="28"/>
        <v>0</v>
      </c>
    </row>
    <row r="208" hidden="1" spans="1:3">
      <c r="A208" t="str">
        <f>'Section-Category'!A56</f>
        <v>School Supplies</v>
      </c>
      <c r="B208" t="e">
        <f t="shared" si="25"/>
        <v>#DIV/0!</v>
      </c>
      <c r="C208" s="51">
        <f t="shared" si="28"/>
        <v>0</v>
      </c>
    </row>
    <row r="209" hidden="1" spans="1:3">
      <c r="A209" t="str">
        <f>'Section-Category'!A57</f>
        <v>Babysitting</v>
      </c>
      <c r="B209" t="e">
        <f t="shared" si="25"/>
        <v>#DIV/0!</v>
      </c>
      <c r="C209" s="51">
        <f t="shared" si="28"/>
        <v>0</v>
      </c>
    </row>
    <row r="210" hidden="1" spans="1:3">
      <c r="A210" t="str">
        <f>'Section-Category'!A58</f>
        <v>Toys/Games</v>
      </c>
      <c r="B210" t="e">
        <f t="shared" si="25"/>
        <v>#DIV/0!</v>
      </c>
      <c r="C210" s="51">
        <f t="shared" si="28"/>
        <v>0</v>
      </c>
    </row>
    <row r="211" hidden="1" spans="1:3">
      <c r="A211" t="str">
        <f>'Section-Category'!A59</f>
        <v>Other</v>
      </c>
      <c r="B211" t="e">
        <f t="shared" si="25"/>
        <v>#DIV/0!</v>
      </c>
      <c r="C211" s="51">
        <f t="shared" si="28"/>
        <v>0</v>
      </c>
    </row>
    <row r="212" hidden="1" spans="1:3">
      <c r="A212" t="str">
        <f>'Section-Category'!A64</f>
        <v>Vehicle Payments</v>
      </c>
      <c r="B212" t="e">
        <f t="shared" si="25"/>
        <v>#DIV/0!</v>
      </c>
      <c r="C212" s="51">
        <f t="shared" ref="C212:C217" si="29">AH74</f>
        <v>0</v>
      </c>
    </row>
    <row r="213" hidden="1" spans="1:3">
      <c r="A213" t="str">
        <f>'Section-Category'!A65</f>
        <v>Fuel</v>
      </c>
      <c r="B213" t="e">
        <f t="shared" si="25"/>
        <v>#DIV/0!</v>
      </c>
      <c r="C213" s="51">
        <f t="shared" si="29"/>
        <v>0</v>
      </c>
    </row>
    <row r="214" hidden="1" spans="1:3">
      <c r="A214" t="str">
        <f>'Section-Category'!A66</f>
        <v>Bus/Taxi/Train Fare</v>
      </c>
      <c r="B214" t="e">
        <f t="shared" si="25"/>
        <v>#DIV/0!</v>
      </c>
      <c r="C214" s="51">
        <f t="shared" si="29"/>
        <v>0</v>
      </c>
    </row>
    <row r="215" hidden="1" spans="1:3">
      <c r="A215" t="str">
        <f>'Section-Category'!A67</f>
        <v>Repairs</v>
      </c>
      <c r="B215" t="e">
        <f t="shared" si="25"/>
        <v>#DIV/0!</v>
      </c>
      <c r="C215" s="51">
        <f t="shared" si="29"/>
        <v>0</v>
      </c>
    </row>
    <row r="216" hidden="1" spans="1:3">
      <c r="A216" t="str">
        <f>'Section-Category'!A68</f>
        <v>Registration/License</v>
      </c>
      <c r="B216" t="e">
        <f t="shared" si="25"/>
        <v>#DIV/0!</v>
      </c>
      <c r="C216" s="51">
        <f t="shared" si="29"/>
        <v>0</v>
      </c>
    </row>
    <row r="217" hidden="1" spans="1:3">
      <c r="A217" t="str">
        <f>'Section-Category'!A69</f>
        <v>Other</v>
      </c>
      <c r="B217" t="e">
        <f t="shared" si="25"/>
        <v>#DIV/0!</v>
      </c>
      <c r="C217" s="51">
        <f t="shared" si="29"/>
        <v>0</v>
      </c>
    </row>
    <row r="218" spans="1:3">
      <c r="A218" t="str">
        <f>'Section-Category'!A74</f>
        <v>Doctor/Dentist</v>
      </c>
      <c r="B218" t="e">
        <f t="shared" si="25"/>
        <v>#DIV/0!</v>
      </c>
      <c r="C218" s="54">
        <f>AH83</f>
        <v>0</v>
      </c>
    </row>
    <row r="219" spans="1:3">
      <c r="A219" t="str">
        <f>'Section-Category'!A75</f>
        <v>Medicine/Drugs</v>
      </c>
      <c r="B219" t="e">
        <f t="shared" si="25"/>
        <v>#DIV/0!</v>
      </c>
      <c r="C219" s="54">
        <f>AH84</f>
        <v>0</v>
      </c>
    </row>
    <row r="220" hidden="1" spans="1:3">
      <c r="A220" t="str">
        <f>'Section-Category'!A76</f>
        <v>Lab Test</v>
      </c>
      <c r="B220" t="e">
        <f t="shared" si="25"/>
        <v>#DIV/0!</v>
      </c>
      <c r="C220" s="54">
        <f>AH85</f>
        <v>0</v>
      </c>
    </row>
    <row r="221" hidden="1" spans="1:3">
      <c r="A221" t="str">
        <f>'Section-Category'!A77</f>
        <v>Consultation</v>
      </c>
      <c r="B221" t="e">
        <f t="shared" si="25"/>
        <v>#DIV/0!</v>
      </c>
      <c r="C221" s="54">
        <f>AH86</f>
        <v>0</v>
      </c>
    </row>
    <row r="222" hidden="1" spans="1:3">
      <c r="A222" t="str">
        <f>'Section-Category'!A78</f>
        <v>Other</v>
      </c>
      <c r="B222" t="e">
        <f t="shared" si="25"/>
        <v>#DIV/0!</v>
      </c>
      <c r="C222" s="54">
        <f>AH87</f>
        <v>0</v>
      </c>
    </row>
    <row r="223" hidden="1" spans="1:3">
      <c r="A223" t="str">
        <f>'Section-Category'!A83</f>
        <v>Pocket Money Wife</v>
      </c>
      <c r="B223" t="e">
        <f t="shared" si="25"/>
        <v>#DIV/0!</v>
      </c>
      <c r="C223" s="51">
        <f>AH133</f>
        <v>0</v>
      </c>
    </row>
    <row r="224" hidden="1" spans="1:3">
      <c r="A224" t="str">
        <f>'Section-Category'!A84</f>
        <v>Car Repair / Workshop</v>
      </c>
      <c r="B224" t="e">
        <f t="shared" si="25"/>
        <v>#DIV/0!</v>
      </c>
      <c r="C224" s="51">
        <f>AH134</f>
        <v>0</v>
      </c>
    </row>
    <row r="225" hidden="1" spans="1:3">
      <c r="A225" t="str">
        <f>'Section-Category'!A85</f>
        <v>Food</v>
      </c>
      <c r="B225" t="e">
        <f t="shared" si="25"/>
        <v>#DIV/0!</v>
      </c>
      <c r="C225" s="51">
        <f>AH135</f>
        <v>0</v>
      </c>
    </row>
    <row r="226" hidden="1" spans="1:3">
      <c r="A226" t="str">
        <f>'Section-Category'!A89</f>
        <v>Pocket Money Husband</v>
      </c>
      <c r="B226" t="e">
        <f t="shared" si="25"/>
        <v>#DIV/0!</v>
      </c>
      <c r="C226" s="51">
        <f>AH136</f>
        <v>0</v>
      </c>
    </row>
    <row r="227" hidden="1" spans="1:3">
      <c r="A227" t="str">
        <f>'Section-Category'!A90</f>
        <v>Other</v>
      </c>
      <c r="B227" t="e">
        <f t="shared" si="25"/>
        <v>#DIV/0!</v>
      </c>
      <c r="C227" s="51">
        <f>AH137</f>
        <v>0</v>
      </c>
    </row>
    <row r="228" hidden="1" spans="1:3">
      <c r="A228" t="str">
        <f>'Section-Category'!A95</f>
        <v>Tuition</v>
      </c>
      <c r="B228" t="e">
        <f t="shared" si="25"/>
        <v>#DIV/0!</v>
      </c>
      <c r="C228" s="51">
        <f>AH91</f>
        <v>0</v>
      </c>
    </row>
    <row r="229" hidden="1" spans="1:3">
      <c r="A229" t="str">
        <f>'Section-Category'!A96</f>
        <v>Books</v>
      </c>
      <c r="B229" t="e">
        <f t="shared" si="25"/>
        <v>#DIV/0!</v>
      </c>
      <c r="C229" s="51">
        <f>AH92</f>
        <v>0</v>
      </c>
    </row>
    <row r="230" hidden="1" spans="1:3">
      <c r="A230" t="str">
        <f>'Section-Category'!A97</f>
        <v>Music Lessons</v>
      </c>
      <c r="B230" t="e">
        <f t="shared" si="25"/>
        <v>#DIV/0!</v>
      </c>
      <c r="C230" s="51">
        <f>AH93</f>
        <v>0</v>
      </c>
    </row>
    <row r="231" hidden="1" spans="1:3">
      <c r="A231" t="str">
        <f>'Section-Category'!A98</f>
        <v>Other</v>
      </c>
      <c r="B231" t="e">
        <f t="shared" si="25"/>
        <v>#DIV/0!</v>
      </c>
      <c r="C231" s="51">
        <f>AH94</f>
        <v>0</v>
      </c>
    </row>
    <row r="232" hidden="1" spans="1:3">
      <c r="A232" t="str">
        <f>'Section-Category'!A103</f>
        <v>Gifts Given</v>
      </c>
      <c r="B232" t="e">
        <f t="shared" si="25"/>
        <v>#DIV/0!</v>
      </c>
      <c r="C232" s="51">
        <f>AH98</f>
        <v>0</v>
      </c>
    </row>
    <row r="233" spans="1:3">
      <c r="A233" t="str">
        <f>'Section-Category'!A104</f>
        <v>Couple Charity</v>
      </c>
      <c r="B233" t="e">
        <f t="shared" si="25"/>
        <v>#DIV/0!</v>
      </c>
      <c r="C233" s="51">
        <f>AH99</f>
        <v>0</v>
      </c>
    </row>
    <row r="234" spans="1:3">
      <c r="A234" t="str">
        <f>'Section-Category'!A105</f>
        <v>Mother Charity</v>
      </c>
      <c r="B234" t="e">
        <f t="shared" si="25"/>
        <v>#DIV/0!</v>
      </c>
      <c r="C234" s="51">
        <f>AH100</f>
        <v>0</v>
      </c>
    </row>
    <row r="235" hidden="1" spans="1:3">
      <c r="A235" t="str">
        <f>'Section-Category'!A106</f>
        <v>Other</v>
      </c>
      <c r="B235" t="e">
        <f t="shared" si="25"/>
        <v>#DIV/0!</v>
      </c>
      <c r="C235" s="51">
        <f>AH101</f>
        <v>0</v>
      </c>
    </row>
    <row r="236" spans="1:3">
      <c r="A236" t="str">
        <f>'Section-Category'!A111</f>
        <v>Credit Card Debt</v>
      </c>
      <c r="B236" t="e">
        <f t="shared" si="25"/>
        <v>#DIV/0!</v>
      </c>
      <c r="C236" s="54">
        <f>AH105</f>
        <v>0</v>
      </c>
    </row>
    <row r="237" spans="1:3">
      <c r="A237" t="str">
        <f>'Section-Category'!A112</f>
        <v>Punjab ST on CC Fee @16</v>
      </c>
      <c r="B237" t="e">
        <f t="shared" si="25"/>
        <v>#DIV/0!</v>
      </c>
      <c r="C237" s="54">
        <f>AH106</f>
        <v>0</v>
      </c>
    </row>
    <row r="238" spans="1:3">
      <c r="A238" t="str">
        <f>'Section-Category'!A113</f>
        <v>Advance Tax 5%</v>
      </c>
      <c r="B238" t="e">
        <f t="shared" si="25"/>
        <v>#DIV/0!</v>
      </c>
      <c r="C238" s="54">
        <f>AH107</f>
        <v>0</v>
      </c>
    </row>
    <row r="239" hidden="1" spans="1:3">
      <c r="A239" t="str">
        <f>'Section-Category'!A114</f>
        <v>Other</v>
      </c>
      <c r="B239" t="e">
        <f t="shared" si="25"/>
        <v>#DIV/0!</v>
      </c>
      <c r="C239" s="54">
        <f>AH108</f>
        <v>0</v>
      </c>
    </row>
    <row r="240" hidden="1" spans="1:3">
      <c r="A240" t="s">
        <v>53</v>
      </c>
      <c r="B240" t="e">
        <f t="shared" ref="B240:B275" si="30">ROUND(($C240/C$276)*100,2)</f>
        <v>#DIV/0!</v>
      </c>
      <c r="C240" s="51">
        <f>AH112</f>
        <v>0</v>
      </c>
    </row>
    <row r="241" hidden="1" spans="1:3">
      <c r="A241" t="s">
        <v>53</v>
      </c>
      <c r="B241" t="e">
        <f t="shared" si="30"/>
        <v>#DIV/0!</v>
      </c>
      <c r="C241" s="51">
        <f>AH113</f>
        <v>0</v>
      </c>
    </row>
    <row r="242" hidden="1" spans="1:3">
      <c r="A242" t="s">
        <v>53</v>
      </c>
      <c r="B242" t="e">
        <f t="shared" si="30"/>
        <v>#DIV/0!</v>
      </c>
      <c r="C242" s="51">
        <f>AH114</f>
        <v>0</v>
      </c>
    </row>
    <row r="243" hidden="1" spans="1:3">
      <c r="A243" t="s">
        <v>53</v>
      </c>
      <c r="B243" t="e">
        <f t="shared" si="30"/>
        <v>#DIV/0!</v>
      </c>
      <c r="C243" s="51">
        <f>AH115</f>
        <v>0</v>
      </c>
    </row>
    <row r="244" hidden="1" spans="1:3">
      <c r="A244" t="str">
        <f>'Section-Category'!A127</f>
        <v>Activities</v>
      </c>
      <c r="B244" t="e">
        <f t="shared" si="30"/>
        <v>#DIV/0!</v>
      </c>
      <c r="C244" s="51">
        <f t="shared" ref="C244:C254" si="31">AH119</f>
        <v>0</v>
      </c>
    </row>
    <row r="245" hidden="1" spans="1:3">
      <c r="A245" t="str">
        <f>'Section-Category'!A128</f>
        <v>Books</v>
      </c>
      <c r="B245" t="e">
        <f t="shared" si="30"/>
        <v>#DIV/0!</v>
      </c>
      <c r="C245" s="51">
        <f t="shared" si="31"/>
        <v>0</v>
      </c>
    </row>
    <row r="246" hidden="1" spans="1:3">
      <c r="A246" t="str">
        <f>'Section-Category'!A129</f>
        <v>Games</v>
      </c>
      <c r="B246" t="e">
        <f t="shared" si="30"/>
        <v>#DIV/0!</v>
      </c>
      <c r="C246" s="51">
        <f t="shared" si="31"/>
        <v>0</v>
      </c>
    </row>
    <row r="247" hidden="1" spans="1:3">
      <c r="A247" t="str">
        <f>'Section-Category'!A130</f>
        <v>Fun Stuff</v>
      </c>
      <c r="B247" t="e">
        <f t="shared" si="30"/>
        <v>#DIV/0!</v>
      </c>
      <c r="C247" s="51">
        <f t="shared" si="31"/>
        <v>0</v>
      </c>
    </row>
    <row r="248" hidden="1" spans="1:3">
      <c r="A248" t="str">
        <f>'Section-Category'!A131</f>
        <v>Hobbies</v>
      </c>
      <c r="B248" t="e">
        <f t="shared" si="30"/>
        <v>#DIV/0!</v>
      </c>
      <c r="C248" s="51">
        <f t="shared" si="31"/>
        <v>0</v>
      </c>
    </row>
    <row r="249" hidden="1" spans="1:3">
      <c r="A249" t="str">
        <f>'Section-Category'!A132</f>
        <v>Media</v>
      </c>
      <c r="B249" t="e">
        <f t="shared" si="30"/>
        <v>#DIV/0!</v>
      </c>
      <c r="C249" s="51">
        <f t="shared" si="31"/>
        <v>0</v>
      </c>
    </row>
    <row r="250" hidden="1" spans="1:3">
      <c r="A250" t="str">
        <f>'Section-Category'!A133</f>
        <v>Outdoor Recreation</v>
      </c>
      <c r="B250" t="e">
        <f t="shared" si="30"/>
        <v>#DIV/0!</v>
      </c>
      <c r="C250" s="51">
        <f t="shared" si="31"/>
        <v>0</v>
      </c>
    </row>
    <row r="251" hidden="1" spans="1:3">
      <c r="A251" t="str">
        <f>'Section-Category'!A134</f>
        <v>Sports</v>
      </c>
      <c r="B251" t="e">
        <f t="shared" si="30"/>
        <v>#DIV/0!</v>
      </c>
      <c r="C251" s="51">
        <f t="shared" si="31"/>
        <v>0</v>
      </c>
    </row>
    <row r="252" hidden="1" spans="1:3">
      <c r="A252" t="str">
        <f>'Section-Category'!A135</f>
        <v>Toys/Gadgets</v>
      </c>
      <c r="B252" t="e">
        <f t="shared" si="30"/>
        <v>#DIV/0!</v>
      </c>
      <c r="C252" s="51">
        <f t="shared" si="31"/>
        <v>0</v>
      </c>
    </row>
    <row r="253" hidden="1" spans="1:3">
      <c r="A253" t="str">
        <f>'Section-Category'!A136</f>
        <v>Vacation/Travel</v>
      </c>
      <c r="B253" t="e">
        <f t="shared" si="30"/>
        <v>#DIV/0!</v>
      </c>
      <c r="C253" s="51">
        <f t="shared" si="31"/>
        <v>0</v>
      </c>
    </row>
    <row r="254" hidden="1" spans="1:3">
      <c r="A254" t="str">
        <f>'Section-Category'!A137</f>
        <v>Other</v>
      </c>
      <c r="B254" t="e">
        <f t="shared" si="30"/>
        <v>#DIV/0!</v>
      </c>
      <c r="C254" s="51">
        <f t="shared" si="31"/>
        <v>0</v>
      </c>
    </row>
    <row r="255" hidden="1" spans="1:3">
      <c r="A255" t="str">
        <f>'Section-Category'!A142</f>
        <v>&lt;Name-Of-Entry&gt;</v>
      </c>
      <c r="B255" t="e">
        <f t="shared" si="30"/>
        <v>#DIV/0!</v>
      </c>
      <c r="C255" s="51">
        <f>AH133</f>
        <v>0</v>
      </c>
    </row>
    <row r="256" hidden="1" spans="1:3">
      <c r="A256" t="str">
        <f>'Section-Category'!A143</f>
        <v>&lt;Name-Of-Entry&gt;</v>
      </c>
      <c r="B256" t="e">
        <f t="shared" si="30"/>
        <v>#DIV/0!</v>
      </c>
      <c r="C256" s="51">
        <f>AH134</f>
        <v>0</v>
      </c>
    </row>
    <row r="257" hidden="1" spans="1:3">
      <c r="A257" t="str">
        <f>'Section-Category'!A144</f>
        <v>&lt;Name-Of-Entry&gt;</v>
      </c>
      <c r="B257" t="e">
        <f t="shared" si="30"/>
        <v>#DIV/0!</v>
      </c>
      <c r="C257" s="51">
        <f>AH135</f>
        <v>0</v>
      </c>
    </row>
    <row r="258" hidden="1" spans="1:3">
      <c r="A258" t="str">
        <f>'Section-Category'!A145</f>
        <v>&lt;Name-Of-Entry&gt;</v>
      </c>
      <c r="B258" t="e">
        <f t="shared" si="30"/>
        <v>#DIV/0!</v>
      </c>
      <c r="C258" s="51">
        <f>AH136</f>
        <v>0</v>
      </c>
    </row>
    <row r="259" hidden="1" spans="1:3">
      <c r="A259" t="str">
        <f>'Section-Category'!A150</f>
        <v>Netflix</v>
      </c>
      <c r="B259" t="e">
        <f t="shared" si="30"/>
        <v>#DIV/0!</v>
      </c>
      <c r="C259" s="51">
        <f t="shared" ref="C259:C264" si="32">AH140</f>
        <v>0</v>
      </c>
    </row>
    <row r="260" hidden="1" spans="1:3">
      <c r="A260" t="str">
        <f>'Section-Category'!A151</f>
        <v>Medium</v>
      </c>
      <c r="B260" t="e">
        <f t="shared" si="30"/>
        <v>#DIV/0!</v>
      </c>
      <c r="C260" s="51">
        <f t="shared" si="32"/>
        <v>0</v>
      </c>
    </row>
    <row r="261" hidden="1" spans="1:3">
      <c r="A261" t="str">
        <f>'Section-Category'!A152</f>
        <v>Youtube</v>
      </c>
      <c r="B261" t="e">
        <f t="shared" si="30"/>
        <v>#DIV/0!</v>
      </c>
      <c r="C261" s="51">
        <f t="shared" si="32"/>
        <v>0</v>
      </c>
    </row>
    <row r="262" hidden="1" spans="1:3">
      <c r="A262" t="str">
        <f>'Section-Category'!A153</f>
        <v>Google One</v>
      </c>
      <c r="B262" t="e">
        <f t="shared" si="30"/>
        <v>#DIV/0!</v>
      </c>
      <c r="C262" s="51">
        <f t="shared" si="32"/>
        <v>0</v>
      </c>
    </row>
    <row r="263" hidden="1" spans="1:3">
      <c r="A263" t="str">
        <f>'Section-Category'!A154</f>
        <v>Hetzner VM</v>
      </c>
      <c r="B263" t="e">
        <f t="shared" si="30"/>
        <v>#DIV/0!</v>
      </c>
      <c r="C263" s="51">
        <f t="shared" si="32"/>
        <v>0</v>
      </c>
    </row>
    <row r="264" hidden="1" spans="1:3">
      <c r="A264" t="str">
        <f>'Section-Category'!A155</f>
        <v>Claude/ChatGPT/Gemini -AI</v>
      </c>
      <c r="B264" t="e">
        <f t="shared" si="30"/>
        <v>#DIV/0!</v>
      </c>
      <c r="C264" s="51">
        <f t="shared" si="32"/>
        <v>0</v>
      </c>
    </row>
    <row r="265" hidden="1" spans="1:3">
      <c r="A265" t="str">
        <f>'Section-Category'!A160</f>
        <v>Travel</v>
      </c>
      <c r="B265" t="e">
        <f t="shared" si="30"/>
        <v>#DIV/0!</v>
      </c>
      <c r="C265" s="51">
        <f t="shared" ref="C265:C270" si="33">AH149</f>
        <v>0</v>
      </c>
    </row>
    <row r="266" hidden="1" spans="1:3">
      <c r="A266" t="str">
        <f>'Section-Category'!A161</f>
        <v>Lodging</v>
      </c>
      <c r="B266" t="e">
        <f t="shared" si="30"/>
        <v>#DIV/0!</v>
      </c>
      <c r="C266" s="51">
        <f t="shared" si="33"/>
        <v>0</v>
      </c>
    </row>
    <row r="267" hidden="1" spans="1:3">
      <c r="A267" t="str">
        <f>'Section-Category'!A162</f>
        <v>Food</v>
      </c>
      <c r="B267" t="e">
        <f t="shared" si="30"/>
        <v>#DIV/0!</v>
      </c>
      <c r="C267" s="51">
        <f t="shared" si="33"/>
        <v>0</v>
      </c>
    </row>
    <row r="268" hidden="1" spans="1:3">
      <c r="A268" t="str">
        <f>'Section-Category'!A163</f>
        <v>Rental Car</v>
      </c>
      <c r="B268" t="e">
        <f t="shared" si="30"/>
        <v>#DIV/0!</v>
      </c>
      <c r="C268" s="51">
        <f t="shared" si="33"/>
        <v>0</v>
      </c>
    </row>
    <row r="269" hidden="1" spans="1:3">
      <c r="A269" t="str">
        <f>'Section-Category'!A164</f>
        <v>Entertainment</v>
      </c>
      <c r="B269" t="e">
        <f t="shared" si="30"/>
        <v>#DIV/0!</v>
      </c>
      <c r="C269" s="51">
        <f t="shared" si="33"/>
        <v>0</v>
      </c>
    </row>
    <row r="270" hidden="1" spans="1:3">
      <c r="A270" t="str">
        <f>'Section-Category'!A165</f>
        <v>Other</v>
      </c>
      <c r="B270" t="e">
        <f t="shared" si="30"/>
        <v>#DIV/0!</v>
      </c>
      <c r="C270" s="51">
        <f t="shared" si="33"/>
        <v>0</v>
      </c>
    </row>
    <row r="271" hidden="1" spans="1:3">
      <c r="A271" t="str">
        <f>'Section-Category'!A170</f>
        <v>Bank Fees</v>
      </c>
      <c r="B271" t="e">
        <f t="shared" si="30"/>
        <v>#DIV/0!</v>
      </c>
      <c r="C271" s="51">
        <f>AH158</f>
        <v>0</v>
      </c>
    </row>
    <row r="272" hidden="1" spans="1:3">
      <c r="A272" t="str">
        <f>'Section-Category'!A171</f>
        <v>Postage</v>
      </c>
      <c r="B272" t="e">
        <f t="shared" si="30"/>
        <v>#DIV/0!</v>
      </c>
      <c r="C272" s="51">
        <f>AH159</f>
        <v>0</v>
      </c>
    </row>
    <row r="273" hidden="1" spans="1:3">
      <c r="A273" t="str">
        <f>'Section-Category'!A172</f>
        <v>Other</v>
      </c>
      <c r="B273" t="e">
        <f t="shared" si="30"/>
        <v>#DIV/0!</v>
      </c>
      <c r="C273" s="51">
        <f>AH160</f>
        <v>0</v>
      </c>
    </row>
    <row r="274" hidden="1" spans="1:3">
      <c r="A274" t="str">
        <f>'Section-Category'!A173</f>
        <v>&lt;Name-Of-Entry&gt;</v>
      </c>
      <c r="B274" t="e">
        <f t="shared" si="30"/>
        <v>#DIV/0!</v>
      </c>
      <c r="C274" s="51">
        <f>AH161</f>
        <v>0</v>
      </c>
    </row>
    <row r="275" hidden="1" spans="1:3">
      <c r="A275" t="str">
        <f>'Section-Category'!A174</f>
        <v>&lt;Name-Of-Entry&gt;</v>
      </c>
      <c r="B275" t="e">
        <f t="shared" si="30"/>
        <v>#DIV/0!</v>
      </c>
      <c r="C275" s="51">
        <f>AH162</f>
        <v>0</v>
      </c>
    </row>
    <row r="276" spans="1:3">
      <c r="A276" s="55" t="s">
        <v>19</v>
      </c>
      <c r="B276" s="56" t="e">
        <f>SUM(B176:B275)</f>
        <v>#DIV/0!</v>
      </c>
      <c r="C276" s="56">
        <f>SUM(C176:C275)</f>
        <v>0</v>
      </c>
    </row>
    <row r="277" spans="1:3">
      <c r="A277" s="57"/>
      <c r="B277" s="57"/>
      <c r="C277" s="58"/>
    </row>
    <row r="278" hidden="1" spans="1:3">
      <c r="A278" s="44" t="str">
        <f>'Section-Category'!A11</f>
        <v>SAVINGS EXPENSE</v>
      </c>
      <c r="B278" t="e">
        <f t="shared" ref="B278:B293" si="34">ROUND(($C278/C$294)*100,2)</f>
        <v>#DIV/0!</v>
      </c>
      <c r="C278" s="61">
        <f>AH31</f>
        <v>0</v>
      </c>
    </row>
    <row r="279" hidden="1" spans="1:3">
      <c r="A279" s="44" t="str">
        <f>'Section-Category'!A20</f>
        <v>HOME EXPENSES</v>
      </c>
      <c r="B279" t="e">
        <f t="shared" si="34"/>
        <v>#DIV/0!</v>
      </c>
      <c r="C279" s="61">
        <f>AH47</f>
        <v>0</v>
      </c>
    </row>
    <row r="280" spans="1:3">
      <c r="A280" s="44" t="str">
        <f>'Section-Category'!A37</f>
        <v>DAILY LIVING</v>
      </c>
      <c r="B280" t="e">
        <f t="shared" si="34"/>
        <v>#DIV/0!</v>
      </c>
      <c r="C280" s="54">
        <f>AH60</f>
        <v>0</v>
      </c>
    </row>
    <row r="281" hidden="1" spans="1:3">
      <c r="A281" s="44" t="str">
        <f>'Section-Category'!A51</f>
        <v>CHILDREN</v>
      </c>
      <c r="B281" t="e">
        <f t="shared" si="34"/>
        <v>#DIV/0!</v>
      </c>
      <c r="C281" s="61">
        <f>AH71</f>
        <v>0</v>
      </c>
    </row>
    <row r="282" hidden="1" spans="1:3">
      <c r="A282" s="44" t="str">
        <f>'Section-Category'!A63</f>
        <v>TRANSPORTATION</v>
      </c>
      <c r="B282" t="e">
        <f t="shared" si="34"/>
        <v>#DIV/0!</v>
      </c>
      <c r="C282" s="61">
        <f>AH80</f>
        <v>0</v>
      </c>
    </row>
    <row r="283" spans="1:3">
      <c r="A283" s="44" t="str">
        <f>'Section-Category'!A73</f>
        <v>HEALTH</v>
      </c>
      <c r="B283" t="e">
        <f t="shared" si="34"/>
        <v>#DIV/0!</v>
      </c>
      <c r="C283" s="54">
        <f>AH88</f>
        <v>0</v>
      </c>
    </row>
    <row r="284" hidden="1" spans="1:3">
      <c r="A284" s="44" t="str">
        <f>'Section-Category'!A82</f>
        <v>Petty Cash Used</v>
      </c>
      <c r="B284" t="e">
        <f t="shared" si="34"/>
        <v>#DIV/0!</v>
      </c>
      <c r="C284" s="61">
        <f>AH23</f>
        <v>0</v>
      </c>
    </row>
    <row r="285" hidden="1" spans="1:3">
      <c r="A285" s="44" t="str">
        <f>'Section-Category'!A94</f>
        <v>EDUCATION</v>
      </c>
      <c r="B285" t="e">
        <f t="shared" si="34"/>
        <v>#DIV/0!</v>
      </c>
      <c r="C285" s="61">
        <f>AH95</f>
        <v>0</v>
      </c>
    </row>
    <row r="286" spans="1:3">
      <c r="A286" s="44" t="str">
        <f>'Section-Category'!A102</f>
        <v>CHARITY/GIFTS</v>
      </c>
      <c r="B286" t="e">
        <f t="shared" si="34"/>
        <v>#DIV/0!</v>
      </c>
      <c r="C286" s="54">
        <f>AH102</f>
        <v>0</v>
      </c>
    </row>
    <row r="287" spans="1:3">
      <c r="A287" s="44" t="str">
        <f>'Section-Category'!A110</f>
        <v>OBLIGATIONS</v>
      </c>
      <c r="B287" t="e">
        <f t="shared" si="34"/>
        <v>#DIV/0!</v>
      </c>
      <c r="C287" s="54">
        <f>AH109</f>
        <v>0</v>
      </c>
    </row>
    <row r="288" hidden="1" spans="1:3">
      <c r="A288" s="44">
        <f>'Section-Category'!A118</f>
        <v>0</v>
      </c>
      <c r="B288" t="e">
        <f t="shared" si="34"/>
        <v>#DIV/0!</v>
      </c>
      <c r="C288" s="61">
        <f>AH137</f>
        <v>0</v>
      </c>
    </row>
    <row r="289" hidden="1" spans="1:3">
      <c r="A289" s="44" t="str">
        <f>'Section-Category'!A126</f>
        <v>ENTERTAINMENT</v>
      </c>
      <c r="B289" t="e">
        <f t="shared" si="34"/>
        <v>#DIV/0!</v>
      </c>
      <c r="C289" s="54">
        <f>AH130</f>
        <v>0</v>
      </c>
    </row>
    <row r="290" hidden="1" spans="1:3">
      <c r="A290" s="44">
        <f>'Section-Category'!A141</f>
        <v>0</v>
      </c>
      <c r="B290" t="e">
        <f t="shared" si="34"/>
        <v>#DIV/0!</v>
      </c>
      <c r="C290" s="61">
        <f>AH137</f>
        <v>0</v>
      </c>
    </row>
    <row r="291" hidden="1" spans="1:3">
      <c r="A291" s="44" t="str">
        <f>'Section-Category'!A149</f>
        <v>SUBSCRIPTIONS</v>
      </c>
      <c r="B291" t="e">
        <f t="shared" si="34"/>
        <v>#DIV/0!</v>
      </c>
      <c r="C291" s="61">
        <f>AH146</f>
        <v>0</v>
      </c>
    </row>
    <row r="292" hidden="1" spans="1:3">
      <c r="A292" s="44" t="str">
        <f>'Section-Category'!A159</f>
        <v>VACATION</v>
      </c>
      <c r="B292" t="e">
        <f t="shared" si="34"/>
        <v>#DIV/0!</v>
      </c>
      <c r="C292">
        <v>0</v>
      </c>
    </row>
    <row r="293" hidden="1" spans="1:3">
      <c r="A293" s="44" t="str">
        <f>'Section-Category'!A169</f>
        <v>MISCELLANEOUS</v>
      </c>
      <c r="B293" t="e">
        <f t="shared" si="34"/>
        <v>#DIV/0!</v>
      </c>
      <c r="C293" s="61">
        <f>AH163</f>
        <v>0</v>
      </c>
    </row>
    <row r="294" spans="1:3">
      <c r="A294" s="55" t="s">
        <v>19</v>
      </c>
      <c r="B294" s="56" t="e">
        <f>SUM(B277:B293)</f>
        <v>#DIV/0!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H16" sqref="H16"/>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Jun</v>
      </c>
      <c r="B1" s="2">
        <f>Budget!D1</f>
        <v>2026</v>
      </c>
    </row>
    <row r="2" s="22" customFormat="1" ht="18" customHeight="1" spans="1:32">
      <c r="A2" s="24" t="s">
        <v>37</v>
      </c>
      <c r="B2" s="25">
        <f>'Section-Category'!D11</f>
        <v>46174</v>
      </c>
      <c r="C2" s="25">
        <f>'Section-Category'!E11</f>
        <v>46175</v>
      </c>
      <c r="D2" s="25">
        <f>'Section-Category'!F11</f>
        <v>46176</v>
      </c>
      <c r="E2" s="25">
        <f>'Section-Category'!G11</f>
        <v>46177</v>
      </c>
      <c r="F2" s="25">
        <f>'Section-Category'!H11</f>
        <v>46178</v>
      </c>
      <c r="G2" s="25">
        <f>'Section-Category'!I11</f>
        <v>46179</v>
      </c>
      <c r="H2" s="25">
        <f>'Section-Category'!J11</f>
        <v>46180</v>
      </c>
      <c r="I2" s="25">
        <f>'Section-Category'!K11</f>
        <v>46181</v>
      </c>
      <c r="J2" s="25">
        <f>'Section-Category'!L11</f>
        <v>46182</v>
      </c>
      <c r="K2" s="25">
        <f>'Section-Category'!M11</f>
        <v>46183</v>
      </c>
      <c r="L2" s="25">
        <f>'Section-Category'!N11</f>
        <v>46184</v>
      </c>
      <c r="M2" s="25">
        <f>'Section-Category'!O11</f>
        <v>46185</v>
      </c>
      <c r="N2" s="25">
        <f>'Section-Category'!P11</f>
        <v>46186</v>
      </c>
      <c r="O2" s="25">
        <f>'Section-Category'!Q11</f>
        <v>46187</v>
      </c>
      <c r="P2" s="25">
        <f>'Section-Category'!R11</f>
        <v>46188</v>
      </c>
      <c r="Q2" s="25">
        <f>'Section-Category'!S11</f>
        <v>46189</v>
      </c>
      <c r="R2" s="25">
        <f>'Section-Category'!T11</f>
        <v>46190</v>
      </c>
      <c r="S2" s="25">
        <f>'Section-Category'!U11</f>
        <v>46191</v>
      </c>
      <c r="T2" s="25">
        <f>'Section-Category'!V11</f>
        <v>46192</v>
      </c>
      <c r="U2" s="25">
        <f>'Section-Category'!W11</f>
        <v>46193</v>
      </c>
      <c r="V2" s="25">
        <f>'Section-Category'!X11</f>
        <v>46194</v>
      </c>
      <c r="W2" s="25">
        <f>'Section-Category'!Y11</f>
        <v>46195</v>
      </c>
      <c r="X2" s="25">
        <f>'Section-Category'!Z11</f>
        <v>46196</v>
      </c>
      <c r="Y2" s="25">
        <f>'Section-Category'!AA11</f>
        <v>46197</v>
      </c>
      <c r="Z2" s="25">
        <f>'Section-Category'!AB11</f>
        <v>46198</v>
      </c>
      <c r="AA2" s="25">
        <f>'Section-Category'!AC11</f>
        <v>46199</v>
      </c>
      <c r="AB2" s="25">
        <f>'Section-Category'!AD11</f>
        <v>46200</v>
      </c>
      <c r="AC2" s="25">
        <f>'Section-Category'!AE11</f>
        <v>46201</v>
      </c>
      <c r="AD2" s="25">
        <f>'Section-Category'!AF11</f>
        <v>46202</v>
      </c>
      <c r="AE2" s="25">
        <f>'Section-Category'!AG11</f>
        <v>46203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49</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C7" sqref="C7"/>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Jul</v>
      </c>
      <c r="B1" s="2">
        <f>Budget!D1</f>
        <v>2026</v>
      </c>
    </row>
    <row r="2" s="22" customFormat="1" ht="18" customHeight="1" spans="1:32">
      <c r="A2" s="24" t="s">
        <v>37</v>
      </c>
      <c r="B2" s="25">
        <f>'Section-Category'!D12</f>
        <v>46204</v>
      </c>
      <c r="C2" s="25">
        <f>'Section-Category'!E12</f>
        <v>46205</v>
      </c>
      <c r="D2" s="25">
        <f>'Section-Category'!F12</f>
        <v>46206</v>
      </c>
      <c r="E2" s="25">
        <f>'Section-Category'!G12</f>
        <v>46207</v>
      </c>
      <c r="F2" s="25">
        <f>'Section-Category'!H12</f>
        <v>46208</v>
      </c>
      <c r="G2" s="25">
        <f>'Section-Category'!I12</f>
        <v>46209</v>
      </c>
      <c r="H2" s="25">
        <f>'Section-Category'!J12</f>
        <v>46210</v>
      </c>
      <c r="I2" s="25">
        <f>'Section-Category'!K12</f>
        <v>46211</v>
      </c>
      <c r="J2" s="25">
        <f>'Section-Category'!L12</f>
        <v>46212</v>
      </c>
      <c r="K2" s="25">
        <f>'Section-Category'!M12</f>
        <v>46213</v>
      </c>
      <c r="L2" s="25">
        <f>'Section-Category'!N12</f>
        <v>46214</v>
      </c>
      <c r="M2" s="25">
        <f>'Section-Category'!O12</f>
        <v>46215</v>
      </c>
      <c r="N2" s="25">
        <f>'Section-Category'!P12</f>
        <v>46216</v>
      </c>
      <c r="O2" s="25">
        <f>'Section-Category'!Q12</f>
        <v>46217</v>
      </c>
      <c r="P2" s="25">
        <f>'Section-Category'!R12</f>
        <v>46218</v>
      </c>
      <c r="Q2" s="25">
        <f>'Section-Category'!S12</f>
        <v>46219</v>
      </c>
      <c r="R2" s="25">
        <f>'Section-Category'!T12</f>
        <v>46220</v>
      </c>
      <c r="S2" s="25">
        <f>'Section-Category'!U12</f>
        <v>46221</v>
      </c>
      <c r="T2" s="25">
        <f>'Section-Category'!V12</f>
        <v>46222</v>
      </c>
      <c r="U2" s="25">
        <f>'Section-Category'!W12</f>
        <v>46223</v>
      </c>
      <c r="V2" s="25">
        <f>'Section-Category'!X12</f>
        <v>46224</v>
      </c>
      <c r="W2" s="25">
        <f>'Section-Category'!Y12</f>
        <v>46225</v>
      </c>
      <c r="X2" s="25">
        <f>'Section-Category'!Z12</f>
        <v>46226</v>
      </c>
      <c r="Y2" s="25">
        <f>'Section-Category'!AA12</f>
        <v>46227</v>
      </c>
      <c r="Z2" s="25">
        <f>'Section-Category'!AB12</f>
        <v>46228</v>
      </c>
      <c r="AA2" s="25">
        <f>'Section-Category'!AC12</f>
        <v>46229</v>
      </c>
      <c r="AB2" s="25">
        <f>'Section-Category'!AD12</f>
        <v>46230</v>
      </c>
      <c r="AC2" s="25">
        <f>'Section-Category'!AE12</f>
        <v>46231</v>
      </c>
      <c r="AD2" s="25">
        <f>'Section-Category'!AF12</f>
        <v>46232</v>
      </c>
      <c r="AE2" s="25">
        <f>'Section-Category'!AG12</f>
        <v>46233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49</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H41" sqref="H41"/>
    </sheetView>
  </sheetViews>
  <sheetFormatPr defaultColWidth="9.00833333333333" defaultRowHeight="16.8" customHeight="1"/>
  <cols>
    <col min="1" max="1" width="24.5" customWidth="1"/>
    <col min="2" max="12" width="15.8833333333333" customWidth="1"/>
    <col min="13" max="13" width="12.1916666666667" customWidth="1"/>
    <col min="14" max="31" width="15.88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Aug</v>
      </c>
      <c r="B1" s="2">
        <f>Budget!D1</f>
        <v>2026</v>
      </c>
    </row>
    <row r="2" s="22" customFormat="1" ht="18" customHeight="1" spans="1:32">
      <c r="A2" s="24" t="s">
        <v>37</v>
      </c>
      <c r="B2" s="25">
        <f>'Section-Category'!D13</f>
        <v>46235</v>
      </c>
      <c r="C2" s="25">
        <f>'Section-Category'!E12</f>
        <v>46205</v>
      </c>
      <c r="D2" s="25">
        <f>'Section-Category'!F12</f>
        <v>46206</v>
      </c>
      <c r="E2" s="25">
        <f>'Section-Category'!G12</f>
        <v>46207</v>
      </c>
      <c r="F2" s="25">
        <f>'Section-Category'!H12</f>
        <v>46208</v>
      </c>
      <c r="G2" s="25">
        <f>'Section-Category'!I12</f>
        <v>46209</v>
      </c>
      <c r="H2" s="25">
        <f>'Section-Category'!J12</f>
        <v>46210</v>
      </c>
      <c r="I2" s="25">
        <f>'Section-Category'!K12</f>
        <v>46211</v>
      </c>
      <c r="J2" s="25">
        <f>'Section-Category'!L12</f>
        <v>46212</v>
      </c>
      <c r="K2" s="25">
        <f>'Section-Category'!M12</f>
        <v>46213</v>
      </c>
      <c r="L2" s="25">
        <f>'Section-Category'!N12</f>
        <v>46214</v>
      </c>
      <c r="M2" s="25">
        <f>'Section-Category'!O12</f>
        <v>46215</v>
      </c>
      <c r="N2" s="25">
        <f>'Section-Category'!P12</f>
        <v>46216</v>
      </c>
      <c r="O2" s="25">
        <f>'Section-Category'!Q12</f>
        <v>46217</v>
      </c>
      <c r="P2" s="25">
        <f>'Section-Category'!R12</f>
        <v>46218</v>
      </c>
      <c r="Q2" s="25">
        <f>'Section-Category'!S12</f>
        <v>46219</v>
      </c>
      <c r="R2" s="25">
        <f>'Section-Category'!T12</f>
        <v>46220</v>
      </c>
      <c r="S2" s="25">
        <f>'Section-Category'!U12</f>
        <v>46221</v>
      </c>
      <c r="T2" s="25">
        <f>'Section-Category'!V12</f>
        <v>46222</v>
      </c>
      <c r="U2" s="25">
        <f>'Section-Category'!W12</f>
        <v>46223</v>
      </c>
      <c r="V2" s="25">
        <f>'Section-Category'!X12</f>
        <v>46224</v>
      </c>
      <c r="W2" s="25">
        <f>'Section-Category'!Y12</f>
        <v>46225</v>
      </c>
      <c r="X2" s="25">
        <f>'Section-Category'!Z12</f>
        <v>46226</v>
      </c>
      <c r="Y2" s="25">
        <f>'Section-Category'!AA12</f>
        <v>46227</v>
      </c>
      <c r="Z2" s="25">
        <f>'Section-Category'!AB12</f>
        <v>46228</v>
      </c>
      <c r="AA2" s="25">
        <f>'Section-Category'!AC12</f>
        <v>46229</v>
      </c>
      <c r="AB2" s="25">
        <f>'Section-Category'!AD12</f>
        <v>46230</v>
      </c>
      <c r="AC2" s="25">
        <f>'Section-Category'!AE12</f>
        <v>46231</v>
      </c>
      <c r="AD2" s="25">
        <f>'Section-Category'!AF12</f>
        <v>46232</v>
      </c>
      <c r="AE2" s="25">
        <f>'Section-Category'!AG12</f>
        <v>46233</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49</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AC23" sqref="AC23"/>
    </sheetView>
  </sheetViews>
  <sheetFormatPr defaultColWidth="9.00833333333333" defaultRowHeight="16.8" customHeight="1"/>
  <cols>
    <col min="1" max="1" width="24.5" customWidth="1"/>
    <col min="2" max="12" width="18.4333333333333" customWidth="1"/>
    <col min="13" max="13" width="12.1916666666667" customWidth="1"/>
    <col min="14" max="31" width="18.43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Sep</v>
      </c>
      <c r="B1" s="2">
        <f>Budget!D1</f>
        <v>2026</v>
      </c>
    </row>
    <row r="2" s="22" customFormat="1" ht="18" customHeight="1" spans="1:32">
      <c r="A2" s="24" t="s">
        <v>37</v>
      </c>
      <c r="B2" s="25">
        <f>'Section-Category'!D14</f>
        <v>46266</v>
      </c>
      <c r="C2" s="25">
        <f>'Section-Category'!E14</f>
        <v>46267</v>
      </c>
      <c r="D2" s="25">
        <f>'Section-Category'!F14</f>
        <v>46268</v>
      </c>
      <c r="E2" s="25">
        <f>'Section-Category'!G14</f>
        <v>46269</v>
      </c>
      <c r="F2" s="25">
        <f>'Section-Category'!H14</f>
        <v>46270</v>
      </c>
      <c r="G2" s="25">
        <f>'Section-Category'!I14</f>
        <v>46271</v>
      </c>
      <c r="H2" s="25">
        <f>'Section-Category'!J14</f>
        <v>46272</v>
      </c>
      <c r="I2" s="25">
        <f>'Section-Category'!K14</f>
        <v>46273</v>
      </c>
      <c r="J2" s="25">
        <f>'Section-Category'!L14</f>
        <v>46274</v>
      </c>
      <c r="K2" s="25">
        <f>'Section-Category'!M14</f>
        <v>46275</v>
      </c>
      <c r="L2" s="25">
        <f>'Section-Category'!N14</f>
        <v>46276</v>
      </c>
      <c r="M2" s="25">
        <f>'Section-Category'!O14</f>
        <v>46277</v>
      </c>
      <c r="N2" s="25">
        <f>'Section-Category'!P14</f>
        <v>46278</v>
      </c>
      <c r="O2" s="25">
        <f>'Section-Category'!Q14</f>
        <v>46279</v>
      </c>
      <c r="P2" s="25">
        <f>'Section-Category'!R14</f>
        <v>46280</v>
      </c>
      <c r="Q2" s="25">
        <f>'Section-Category'!S14</f>
        <v>46281</v>
      </c>
      <c r="R2" s="25">
        <f>'Section-Category'!T14</f>
        <v>46282</v>
      </c>
      <c r="S2" s="25">
        <f>'Section-Category'!U14</f>
        <v>46283</v>
      </c>
      <c r="T2" s="25">
        <f>'Section-Category'!V14</f>
        <v>46284</v>
      </c>
      <c r="U2" s="25">
        <f>'Section-Category'!W14</f>
        <v>46285</v>
      </c>
      <c r="V2" s="25">
        <f>'Section-Category'!X14</f>
        <v>46286</v>
      </c>
      <c r="W2" s="25">
        <f>'Section-Category'!Y14</f>
        <v>46287</v>
      </c>
      <c r="X2" s="25">
        <f>'Section-Category'!Z14</f>
        <v>46288</v>
      </c>
      <c r="Y2" s="25">
        <f>'Section-Category'!AA14</f>
        <v>46289</v>
      </c>
      <c r="Z2" s="25">
        <f>'Section-Category'!AB14</f>
        <v>46290</v>
      </c>
      <c r="AA2" s="25">
        <f>'Section-Category'!AC14</f>
        <v>46291</v>
      </c>
      <c r="AB2" s="25">
        <f>'Section-Category'!AD14</f>
        <v>46292</v>
      </c>
      <c r="AC2" s="25">
        <f>'Section-Category'!AE14</f>
        <v>46293</v>
      </c>
      <c r="AD2" s="25">
        <f>'Section-Category'!AF14</f>
        <v>46294</v>
      </c>
      <c r="AE2" s="25">
        <f>'Section-Category'!AG14</f>
        <v>46295</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49</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B2" sqref="B2"/>
    </sheetView>
  </sheetViews>
  <sheetFormatPr defaultColWidth="9.00833333333333" defaultRowHeight="16.8" customHeight="1"/>
  <cols>
    <col min="1" max="1" width="24.5" customWidth="1"/>
    <col min="2" max="12" width="18.4333333333333" customWidth="1"/>
    <col min="13" max="13" width="12.1916666666667" customWidth="1"/>
    <col min="14" max="32" width="18.43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Oct</v>
      </c>
      <c r="B1" s="2">
        <f>Budget!D1</f>
        <v>2026</v>
      </c>
    </row>
    <row r="2" s="22" customFormat="1" ht="18" customHeight="1" spans="1:33">
      <c r="A2" s="24" t="s">
        <v>37</v>
      </c>
      <c r="B2" s="25">
        <f>'Section-Category'!D15</f>
        <v>46296</v>
      </c>
      <c r="C2" s="25">
        <f>'Section-Category'!E15</f>
        <v>46297</v>
      </c>
      <c r="D2" s="25">
        <f>'Section-Category'!F15</f>
        <v>46298</v>
      </c>
      <c r="E2" s="25">
        <f>'Section-Category'!G15</f>
        <v>46299</v>
      </c>
      <c r="F2" s="25">
        <f>'Section-Category'!H15</f>
        <v>46300</v>
      </c>
      <c r="G2" s="25">
        <f>'Section-Category'!I15</f>
        <v>46301</v>
      </c>
      <c r="H2" s="25">
        <f>'Section-Category'!J15</f>
        <v>46302</v>
      </c>
      <c r="I2" s="25">
        <f>'Section-Category'!K15</f>
        <v>46303</v>
      </c>
      <c r="J2" s="25">
        <f>'Section-Category'!L15</f>
        <v>46304</v>
      </c>
      <c r="K2" s="25">
        <f>'Section-Category'!M15</f>
        <v>46305</v>
      </c>
      <c r="L2" s="25">
        <f>'Section-Category'!N15</f>
        <v>46306</v>
      </c>
      <c r="M2" s="25">
        <f>'Section-Category'!O15</f>
        <v>46307</v>
      </c>
      <c r="N2" s="25">
        <f>'Section-Category'!P15</f>
        <v>46308</v>
      </c>
      <c r="O2" s="25">
        <f>'Section-Category'!Q15</f>
        <v>46309</v>
      </c>
      <c r="P2" s="25">
        <f>'Section-Category'!R15</f>
        <v>46310</v>
      </c>
      <c r="Q2" s="25">
        <f>'Section-Category'!S15</f>
        <v>46311</v>
      </c>
      <c r="R2" s="25">
        <f>'Section-Category'!T15</f>
        <v>46312</v>
      </c>
      <c r="S2" s="25">
        <f>'Section-Category'!U15</f>
        <v>46313</v>
      </c>
      <c r="T2" s="25">
        <f>'Section-Category'!V15</f>
        <v>46314</v>
      </c>
      <c r="U2" s="25">
        <f>'Section-Category'!W15</f>
        <v>46315</v>
      </c>
      <c r="V2" s="25">
        <f>'Section-Category'!X15</f>
        <v>46316</v>
      </c>
      <c r="W2" s="25">
        <f>'Section-Category'!Y15</f>
        <v>46317</v>
      </c>
      <c r="X2" s="25">
        <f>'Section-Category'!Z15</f>
        <v>46318</v>
      </c>
      <c r="Y2" s="25">
        <f>'Section-Category'!AA15</f>
        <v>46319</v>
      </c>
      <c r="Z2" s="25">
        <f>'Section-Category'!AB15</f>
        <v>46320</v>
      </c>
      <c r="AA2" s="25">
        <f>'Section-Category'!AC15</f>
        <v>46321</v>
      </c>
      <c r="AB2" s="25">
        <f>'Section-Category'!AD15</f>
        <v>46322</v>
      </c>
      <c r="AC2" s="25">
        <f>'Section-Category'!AE15</f>
        <v>46323</v>
      </c>
      <c r="AD2" s="25">
        <f>'Section-Category'!AF15</f>
        <v>46324</v>
      </c>
      <c r="AE2" s="25">
        <f>'Section-Category'!AG15</f>
        <v>46325</v>
      </c>
      <c r="AF2" s="25">
        <f>'Section-Category'!AH15</f>
        <v>46326</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A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c r="AC12" s="32">
        <f>SUM(AC5:AC11)</f>
        <v>0</v>
      </c>
      <c r="AD12" s="32">
        <f>SUM(AD5:AD11)</f>
        <v>0</v>
      </c>
      <c r="AE12" s="32">
        <f>SUM(AE5:AE11)</f>
        <v>0</v>
      </c>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A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c r="AC23" s="39">
        <f>SUM(AC15:AC22)</f>
        <v>0</v>
      </c>
      <c r="AD23" s="39">
        <f>SUM(AD15:AD22)</f>
        <v>0</v>
      </c>
      <c r="AE23" s="39">
        <f>SUM(AE15:AE22)</f>
        <v>0</v>
      </c>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A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c r="AC31" s="39">
        <f>SUM(AC26:AC30)</f>
        <v>0</v>
      </c>
      <c r="AD31" s="39">
        <f>SUM(AD26:AD30)</f>
        <v>0</v>
      </c>
      <c r="AE31" s="39">
        <f>SUM(AE26:AE30)</f>
        <v>0</v>
      </c>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A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c r="AC47" s="39">
        <f>SUM(AC34:AC46)</f>
        <v>0</v>
      </c>
      <c r="AD47" s="39">
        <f>SUM(AD34:AD46)</f>
        <v>0</v>
      </c>
      <c r="AE47" s="39">
        <f>SUM(AE34:AE46)</f>
        <v>0</v>
      </c>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A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c r="AC60" s="39">
        <f>SUM(AC50:AC59)</f>
        <v>0</v>
      </c>
      <c r="AD60" s="39">
        <f>SUM(AD50:AD59)</f>
        <v>0</v>
      </c>
      <c r="AE60" s="39">
        <f>SUM(AE50:AE59)</f>
        <v>0</v>
      </c>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A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c r="AC71" s="39">
        <f>SUM(AC63:AC70)</f>
        <v>0</v>
      </c>
      <c r="AD71" s="39">
        <f>SUM(AD63:AD70)</f>
        <v>0</v>
      </c>
      <c r="AE71" s="39">
        <f>SUM(AE63:AE70)</f>
        <v>0</v>
      </c>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A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c r="AC80" s="39">
        <f>SUM(AC74:AC79)</f>
        <v>0</v>
      </c>
      <c r="AD80" s="39">
        <f>SUM(AD74:AD79)</f>
        <v>0</v>
      </c>
      <c r="AE80" s="39">
        <f>SUM(AE74:AE79)</f>
        <v>0</v>
      </c>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A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c r="AC88" s="39">
        <f>SUM(AC83:AC87)</f>
        <v>0</v>
      </c>
      <c r="AD88" s="39">
        <f>SUM(AD83:AD87)</f>
        <v>0</v>
      </c>
      <c r="AE88" s="39">
        <f>SUM(AE83:AE87)</f>
        <v>0</v>
      </c>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A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c r="AC95" s="42">
        <f>SUM(AC91:AC94)</f>
        <v>0</v>
      </c>
      <c r="AD95" s="42">
        <f>SUM(AD91:AD94)</f>
        <v>0</v>
      </c>
      <c r="AE95" s="42">
        <f>SUM(AE91:AE94)</f>
        <v>0</v>
      </c>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A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c r="AC102" s="42">
        <f>SUM(AC98:AC101)</f>
        <v>0</v>
      </c>
      <c r="AD102" s="42">
        <f>SUM(AD98:AD101)</f>
        <v>0</v>
      </c>
      <c r="AE102" s="42">
        <f>SUM(AE98:AE101)</f>
        <v>0</v>
      </c>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A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c r="AC109" s="39">
        <f>SUM(AC105:AC108)</f>
        <v>0</v>
      </c>
      <c r="AD109" s="39">
        <f>SUM(AD105:AD108)</f>
        <v>0</v>
      </c>
      <c r="AE109" s="39">
        <f>SUM(AE105:AE108)</f>
        <v>0</v>
      </c>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A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c r="AC130" s="39">
        <f>SUM(AC119:AC129)</f>
        <v>0</v>
      </c>
      <c r="AD130" s="39">
        <f>SUM(AD119:AD129)</f>
        <v>0</v>
      </c>
      <c r="AE130" s="39">
        <f>SUM(AE119:AE129)</f>
        <v>0</v>
      </c>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A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c r="AC146" s="39">
        <f>SUM(AC140:AC145)</f>
        <v>0</v>
      </c>
      <c r="AD146" s="39">
        <f>SUM(AD140:AD145)</f>
        <v>0</v>
      </c>
      <c r="AE146" s="39">
        <f>SUM(AE140:AE145)</f>
        <v>0</v>
      </c>
      <c r="AF146" s="39">
        <f>SUM(AF140:AF145)</f>
        <v>0</v>
      </c>
      <c r="AG146" s="39">
        <f>SUM(AG140:AG145)</f>
        <v>0</v>
      </c>
    </row>
    <row r="147" spans="1:33">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A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c r="AC155" s="39">
        <f>SUM(AC149:AC154)</f>
        <v>0</v>
      </c>
      <c r="AD155" s="39">
        <f>SUM(AD149:AD154)</f>
        <v>0</v>
      </c>
      <c r="AE155" s="39">
        <f>SUM(AE149:AE154)</f>
        <v>0</v>
      </c>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A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c r="AC163" s="39">
        <f>SUM(AC158:AC162)</f>
        <v>0</v>
      </c>
      <c r="AD163" s="39">
        <f>SUM(AD158:AD162)</f>
        <v>0</v>
      </c>
      <c r="AE163" s="39">
        <f>SUM(AE158:AE162)</f>
        <v>0</v>
      </c>
      <c r="AF163" s="39">
        <f>SUM(AF158:AF162)</f>
        <v>0</v>
      </c>
      <c r="AG163" s="39">
        <f>SUM(AG158:AG162)</f>
        <v>0</v>
      </c>
    </row>
    <row r="164" spans="1:33">
      <c r="A164" s="44" t="s">
        <v>49</v>
      </c>
      <c r="B164" s="30">
        <f t="shared" ref="B164:AA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c r="AC164" s="30">
        <f>SUM(AC31,AC47,AC60,AC71,AC88,AC23,AC95,AC102,AC109,AC116,AC130,AC137,AC146,AC155,AC163)</f>
        <v>0</v>
      </c>
      <c r="AD164" s="30">
        <f>SUM(AD31,AD47,AD60,AD71,AD88,AD23,AD95,AD102,AD109,AD116,AD130,AD137,AD146,AD155,AD163)</f>
        <v>0</v>
      </c>
      <c r="AE164" s="30">
        <f>SUM(AE31,AE47,AE60,AE71,AE88,AE23,AE95,AE102,AE109,AE116,AE130,AE137,AE146,AE155,AE163)</f>
        <v>0</v>
      </c>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Repair / Workshop</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Pocket Money Husband</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53</v>
      </c>
      <c r="B240" s="50" t="str">
        <f t="shared" ref="B240:B275" si="30">IF(TRIM($C240)="0","0",ROUND(($C240/C$276)*100,2))</f>
        <v>0</v>
      </c>
      <c r="C240" s="51">
        <f>AG112</f>
        <v>0</v>
      </c>
    </row>
    <row r="241" ht="16.5" customHeight="1" spans="1:3">
      <c r="A241" t="s">
        <v>53</v>
      </c>
      <c r="B241" s="50" t="str">
        <f t="shared" si="30"/>
        <v>0</v>
      </c>
      <c r="C241" s="51">
        <f>AG113</f>
        <v>0</v>
      </c>
    </row>
    <row r="242" ht="16.5" customHeight="1" spans="1:3">
      <c r="A242" t="s">
        <v>53</v>
      </c>
      <c r="B242" s="50" t="str">
        <f t="shared" si="30"/>
        <v>0</v>
      </c>
      <c r="C242" s="51">
        <f>AG114</f>
        <v>0</v>
      </c>
    </row>
    <row r="243" ht="16.5" customHeight="1" spans="1:3">
      <c r="A243" t="s">
        <v>53</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94"/>
  <sheetViews>
    <sheetView zoomScale="111" zoomScaleNormal="111" workbookViewId="0">
      <selection activeCell="B2" sqref="B2"/>
    </sheetView>
  </sheetViews>
  <sheetFormatPr defaultColWidth="9.00833333333333" defaultRowHeight="16.8" customHeight="1"/>
  <cols>
    <col min="1" max="1" width="24.5" customWidth="1"/>
    <col min="2" max="12" width="18.4333333333333" customWidth="1"/>
    <col min="13" max="13" width="12.1916666666667" customWidth="1"/>
    <col min="14" max="31" width="18.4333333333333" customWidth="1"/>
    <col min="32" max="32" width="10.1166666666667" customWidth="1"/>
    <col min="37" max="37" width="24.5" customWidth="1"/>
    <col min="38" max="38" width="12.6916666666667" customWidth="1"/>
    <col min="39" max="39" width="10" customWidth="1"/>
  </cols>
  <sheetData>
    <row r="1" ht="22.5" customHeight="1" spans="1:32">
      <c r="A1" s="23" t="str">
        <f ca="1">MID(CELL("filename",A1),FIND("]",CELL("filename",A1))+1,255)</f>
        <v>Nov</v>
      </c>
      <c r="B1" s="2">
        <f>Budget!D1</f>
        <v>2026</v>
      </c>
    </row>
    <row r="2" s="22" customFormat="1" ht="18" customHeight="1" spans="1:32">
      <c r="A2" s="24" t="s">
        <v>37</v>
      </c>
      <c r="B2" s="25">
        <f>'Section-Category'!D16</f>
        <v>46327</v>
      </c>
      <c r="C2" s="25">
        <f>'Section-Category'!E16</f>
        <v>46328</v>
      </c>
      <c r="D2" s="25">
        <f>'Section-Category'!F16</f>
        <v>46329</v>
      </c>
      <c r="E2" s="25">
        <f>'Section-Category'!G16</f>
        <v>46330</v>
      </c>
      <c r="F2" s="25">
        <f>'Section-Category'!H16</f>
        <v>46331</v>
      </c>
      <c r="G2" s="25">
        <f>'Section-Category'!I16</f>
        <v>46332</v>
      </c>
      <c r="H2" s="25">
        <f>'Section-Category'!J16</f>
        <v>46333</v>
      </c>
      <c r="I2" s="25">
        <f>'Section-Category'!K16</f>
        <v>46334</v>
      </c>
      <c r="J2" s="25">
        <f>'Section-Category'!L16</f>
        <v>46335</v>
      </c>
      <c r="K2" s="25">
        <f>'Section-Category'!M16</f>
        <v>46336</v>
      </c>
      <c r="L2" s="25">
        <f>'Section-Category'!N16</f>
        <v>46337</v>
      </c>
      <c r="M2" s="25">
        <f>'Section-Category'!O16</f>
        <v>46338</v>
      </c>
      <c r="N2" s="25">
        <f>'Section-Category'!P16</f>
        <v>46339</v>
      </c>
      <c r="O2" s="25">
        <f>'Section-Category'!Q16</f>
        <v>46340</v>
      </c>
      <c r="P2" s="25">
        <f>'Section-Category'!R16</f>
        <v>46341</v>
      </c>
      <c r="Q2" s="25">
        <f>'Section-Category'!S16</f>
        <v>46342</v>
      </c>
      <c r="R2" s="25">
        <f>'Section-Category'!T16</f>
        <v>46343</v>
      </c>
      <c r="S2" s="25">
        <f>'Section-Category'!U16</f>
        <v>46344</v>
      </c>
      <c r="T2" s="25">
        <f>'Section-Category'!V16</f>
        <v>46345</v>
      </c>
      <c r="U2" s="25">
        <f>'Section-Category'!W16</f>
        <v>46346</v>
      </c>
      <c r="V2" s="25">
        <f>'Section-Category'!X16</f>
        <v>46347</v>
      </c>
      <c r="W2" s="25">
        <f>'Section-Category'!Y16</f>
        <v>46348</v>
      </c>
      <c r="X2" s="25">
        <f>'Section-Category'!Z16</f>
        <v>46349</v>
      </c>
      <c r="Y2" s="25">
        <f>'Section-Category'!AA16</f>
        <v>46350</v>
      </c>
      <c r="Z2" s="25">
        <f>'Section-Category'!AB16</f>
        <v>46351</v>
      </c>
      <c r="AA2" s="25">
        <f>'Section-Category'!AC16</f>
        <v>46352</v>
      </c>
      <c r="AB2" s="25">
        <f>'Section-Category'!AD16</f>
        <v>46353</v>
      </c>
      <c r="AC2" s="25">
        <f>'Section-Category'!AE16</f>
        <v>46354</v>
      </c>
      <c r="AD2" s="25">
        <f>'Section-Category'!AF16</f>
        <v>46355</v>
      </c>
      <c r="AE2" s="25">
        <f>'Section-Category'!AG16</f>
        <v>46356</v>
      </c>
      <c r="AF2" s="26" t="s">
        <v>38</v>
      </c>
    </row>
    <row r="3" s="22" customFormat="1" spans="1:32">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22" customFormat="1" spans="1:32">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t="s">
        <v>19</v>
      </c>
    </row>
    <row r="5" s="22" customFormat="1" spans="1:32">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f t="shared" ref="AF5:AF11" si="0">SUM(B5:AE5)</f>
        <v>0</v>
      </c>
    </row>
    <row r="6" s="22" customFormat="1" spans="1:32">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1">
        <f t="shared" si="0"/>
        <v>0</v>
      </c>
    </row>
    <row r="7" s="22" customFormat="1" spans="1:32">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1">
        <f t="shared" si="0"/>
        <v>0</v>
      </c>
    </row>
    <row r="8" s="22" customFormat="1" spans="1:32">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1">
        <f t="shared" si="0"/>
        <v>0</v>
      </c>
    </row>
    <row r="9" s="22" customFormat="1" spans="1:32">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1">
        <f t="shared" si="0"/>
        <v>0</v>
      </c>
    </row>
    <row r="10" s="22" customFormat="1" spans="1:32">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1">
        <f t="shared" si="0"/>
        <v>0</v>
      </c>
    </row>
    <row r="11" s="22" customFormat="1" ht="17.25" customHeight="1" spans="1:32">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1">
        <f t="shared" si="0"/>
        <v>0</v>
      </c>
    </row>
    <row r="12" s="22" customFormat="1" ht="18" customHeight="1" spans="1:32">
      <c r="A12" s="6" t="str">
        <f>'Section-Category'!A9</f>
        <v>Total INCOME</v>
      </c>
      <c r="B12" s="32">
        <f t="shared" ref="B12:AF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f t="shared" si="1"/>
        <v>0</v>
      </c>
      <c r="AE12" s="32">
        <f t="shared" si="1"/>
        <v>0</v>
      </c>
      <c r="AF12" s="32">
        <f t="shared" si="1"/>
        <v>0</v>
      </c>
    </row>
    <row r="13" s="22" customFormat="1" spans="1:32">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22" customFormat="1" spans="1:32">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t="s">
        <v>19</v>
      </c>
    </row>
    <row r="15" s="22" customFormat="1" spans="1:32">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1">
        <f t="shared" ref="AF15:AF22" si="2">SUM(B15:AE15)</f>
        <v>0</v>
      </c>
    </row>
    <row r="16" s="22" customFormat="1" spans="1:32">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1">
        <f t="shared" si="2"/>
        <v>0</v>
      </c>
    </row>
    <row r="17" s="22" customFormat="1" spans="1:32">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1">
        <f t="shared" si="2"/>
        <v>0</v>
      </c>
    </row>
    <row r="18" s="22" customFormat="1" spans="1:32">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1">
        <f t="shared" si="2"/>
        <v>0</v>
      </c>
    </row>
    <row r="19" s="22" customFormat="1" spans="1:32">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1">
        <f t="shared" si="2"/>
        <v>0</v>
      </c>
    </row>
    <row r="20" s="22" customFormat="1" spans="1:32">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1">
        <f t="shared" si="2"/>
        <v>0</v>
      </c>
    </row>
    <row r="21" s="22" customFormat="1" spans="1:32">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1">
        <f t="shared" si="2"/>
        <v>0</v>
      </c>
    </row>
    <row r="22" s="22" customFormat="1" ht="17.25" customHeight="1" spans="1:32">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1">
        <f t="shared" si="2"/>
        <v>0</v>
      </c>
    </row>
    <row r="23" s="22" customFormat="1" ht="17.25" customHeight="1" spans="1:32">
      <c r="A23" s="38" t="str">
        <f>'Section-Category'!A91</f>
        <v>Total Petty Cash Used</v>
      </c>
      <c r="B23" s="39">
        <f t="shared" ref="B23:AF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f t="shared" si="3"/>
        <v>0</v>
      </c>
      <c r="AE23" s="39">
        <f t="shared" si="3"/>
        <v>0</v>
      </c>
      <c r="AF23" s="39">
        <f t="shared" si="3"/>
        <v>0</v>
      </c>
    </row>
    <row r="24" s="22" customFormat="1" spans="1:32">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t="s">
        <v>34</v>
      </c>
    </row>
    <row r="26" spans="1:32">
      <c r="A26" s="9" t="str">
        <f>'Section-Category'!A12</f>
        <v>Emergency Fund</v>
      </c>
      <c r="B26" s="37"/>
      <c r="C26" s="37"/>
      <c r="D26" s="37"/>
      <c r="E26" s="37"/>
      <c r="F26" s="37"/>
      <c r="G26" s="37"/>
      <c r="H26" s="37"/>
      <c r="I26" s="37"/>
      <c r="J26" s="37"/>
      <c r="K26" s="37"/>
      <c r="L26" s="37"/>
      <c r="AF26" s="31">
        <f>SUM(B26:AE26)</f>
        <v>0</v>
      </c>
    </row>
    <row r="27" spans="1:32">
      <c r="A27" s="9" t="str">
        <f>'Section-Category'!A13</f>
        <v>Investments</v>
      </c>
      <c r="B27" s="37"/>
      <c r="C27" s="37"/>
      <c r="D27" s="37"/>
      <c r="E27" s="37"/>
      <c r="F27" s="37"/>
      <c r="G27" s="37"/>
      <c r="H27" s="37"/>
      <c r="I27" s="37"/>
      <c r="J27" s="37"/>
      <c r="K27" s="37"/>
      <c r="L27" s="37"/>
      <c r="AF27" s="31">
        <f>SUM(B27:AE27)</f>
        <v>0</v>
      </c>
    </row>
    <row r="28" spans="1:32">
      <c r="A28" s="9" t="str">
        <f>'Section-Category'!A14</f>
        <v>Pocket Money Wife</v>
      </c>
      <c r="C28" s="37"/>
      <c r="D28" s="37"/>
      <c r="F28" s="37"/>
      <c r="G28" s="37"/>
      <c r="H28" s="37"/>
      <c r="I28" s="37"/>
      <c r="J28" s="37"/>
      <c r="K28" s="37"/>
      <c r="L28" s="37"/>
      <c r="AF28" s="31">
        <f>SUM(B28:AE28)</f>
        <v>0</v>
      </c>
    </row>
    <row r="29" spans="1:32">
      <c r="A29" s="9" t="str">
        <f>'Section-Category'!A15</f>
        <v>&lt;Name-Of-Entry&gt;</v>
      </c>
      <c r="C29" s="37"/>
      <c r="D29" s="37"/>
      <c r="F29" s="37"/>
      <c r="G29" s="37"/>
      <c r="H29" s="37"/>
      <c r="I29" s="37"/>
      <c r="J29" s="37"/>
      <c r="K29" s="37"/>
      <c r="L29" s="37"/>
      <c r="AF29" s="31">
        <f>SUM(B29:AE29)</f>
        <v>0</v>
      </c>
    </row>
    <row r="30" ht="17.25" customHeight="1" spans="1:32">
      <c r="A30" s="9" t="str">
        <f>'Section-Category'!A16</f>
        <v>&lt;Name-Of-Entry&gt;</v>
      </c>
      <c r="B30" s="37"/>
      <c r="C30" s="37"/>
      <c r="D30" s="37"/>
      <c r="F30" s="37"/>
      <c r="G30" s="37"/>
      <c r="H30" s="37"/>
      <c r="I30" s="37"/>
      <c r="J30" s="37"/>
      <c r="K30" s="37"/>
      <c r="L30" s="37"/>
      <c r="AF30" s="31">
        <f>SUM(B30:AE30)</f>
        <v>0</v>
      </c>
    </row>
    <row r="31" ht="17.25" customHeight="1" spans="1:32">
      <c r="A31" s="38" t="str">
        <f>'Section-Category'!A17</f>
        <v>Total SAVINGS EXPENSE</v>
      </c>
      <c r="B31" s="39">
        <f t="shared" ref="B31:AF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f t="shared" si="4"/>
        <v>0</v>
      </c>
      <c r="AE31" s="39">
        <f t="shared" si="4"/>
        <v>0</v>
      </c>
      <c r="AF31" s="39">
        <f t="shared" si="4"/>
        <v>0</v>
      </c>
    </row>
    <row r="32" spans="1:32">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pans="1:32">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t="s">
        <v>34</v>
      </c>
    </row>
    <row r="34" spans="1:32">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1">
        <f t="shared" ref="AF34:AF46" si="5">SUM(B34:AE34)</f>
        <v>0</v>
      </c>
    </row>
    <row r="35" spans="1:32">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1">
        <f t="shared" si="5"/>
        <v>0</v>
      </c>
    </row>
    <row r="36" spans="1:32">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1">
        <f t="shared" si="5"/>
        <v>0</v>
      </c>
    </row>
    <row r="37" spans="1:32">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1">
        <f t="shared" si="5"/>
        <v>0</v>
      </c>
    </row>
    <row r="38" spans="1:32">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1">
        <f t="shared" si="5"/>
        <v>0</v>
      </c>
    </row>
    <row r="39" spans="1:32">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1">
        <f t="shared" si="5"/>
        <v>0</v>
      </c>
    </row>
    <row r="40" spans="1:32">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1">
        <f t="shared" si="5"/>
        <v>0</v>
      </c>
    </row>
    <row r="41" spans="1:32">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1">
        <f t="shared" si="5"/>
        <v>0</v>
      </c>
    </row>
    <row r="42" spans="1:32">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1">
        <f t="shared" si="5"/>
        <v>0</v>
      </c>
    </row>
    <row r="43" spans="1:32">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1">
        <f t="shared" si="5"/>
        <v>0</v>
      </c>
    </row>
    <row r="44" spans="1:32">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1">
        <f t="shared" si="5"/>
        <v>0</v>
      </c>
    </row>
    <row r="45" spans="1:32">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1">
        <f t="shared" si="5"/>
        <v>0</v>
      </c>
    </row>
    <row r="46" ht="17.25" customHeight="1" spans="1:32">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1">
        <f t="shared" si="5"/>
        <v>0</v>
      </c>
    </row>
    <row r="47" ht="17.25" customHeight="1" spans="1:32">
      <c r="A47" s="38" t="str">
        <f>'Section-Category'!A34</f>
        <v>Total HOME EXPENSES</v>
      </c>
      <c r="B47" s="39">
        <f t="shared" ref="B47:AF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f t="shared" si="6"/>
        <v>0</v>
      </c>
      <c r="AE47" s="39">
        <f t="shared" si="6"/>
        <v>0</v>
      </c>
      <c r="AF47" s="39">
        <f t="shared" si="6"/>
        <v>0</v>
      </c>
    </row>
    <row r="48" spans="1:32">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row>
    <row r="49" spans="1:32">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t="s">
        <v>34</v>
      </c>
    </row>
    <row r="50" spans="1:32">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1">
        <f t="shared" ref="AF50:AF59" si="7">SUM(B50:AE50)</f>
        <v>0</v>
      </c>
    </row>
    <row r="51" spans="1:32">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1">
        <f t="shared" si="7"/>
        <v>0</v>
      </c>
    </row>
    <row r="52" spans="1:32">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1">
        <f t="shared" si="7"/>
        <v>0</v>
      </c>
    </row>
    <row r="53" spans="1:32">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1">
        <f t="shared" si="7"/>
        <v>0</v>
      </c>
    </row>
    <row r="54" spans="1:32">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1">
        <f t="shared" si="7"/>
        <v>0</v>
      </c>
    </row>
    <row r="55" spans="1:32">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1">
        <f t="shared" si="7"/>
        <v>0</v>
      </c>
    </row>
    <row r="56" spans="1:32">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1">
        <f t="shared" si="7"/>
        <v>0</v>
      </c>
    </row>
    <row r="57" spans="1:32">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1">
        <f t="shared" si="7"/>
        <v>0</v>
      </c>
    </row>
    <row r="58" spans="1:32">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1">
        <f t="shared" si="7"/>
        <v>0</v>
      </c>
    </row>
    <row r="59" ht="17.25" customHeight="1" spans="1:32">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1">
        <f t="shared" si="7"/>
        <v>0</v>
      </c>
    </row>
    <row r="60" ht="17.25" customHeight="1" spans="1:32">
      <c r="A60" s="38" t="str">
        <f>'Section-Category'!A48</f>
        <v>Total DAILY LIVING</v>
      </c>
      <c r="B60" s="39">
        <f t="shared" ref="B60:AF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f t="shared" si="8"/>
        <v>0</v>
      </c>
      <c r="AE60" s="39">
        <f t="shared" si="8"/>
        <v>0</v>
      </c>
      <c r="AF60" s="39">
        <f t="shared" si="8"/>
        <v>0</v>
      </c>
    </row>
    <row r="61" spans="1:32">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spans="1:32">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t="s">
        <v>34</v>
      </c>
    </row>
    <row r="63" spans="1:32">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1">
        <f t="shared" ref="AF63:AF70" si="9">SUM(B63:AE63)</f>
        <v>0</v>
      </c>
    </row>
    <row r="64" spans="1:32">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1">
        <f t="shared" si="9"/>
        <v>0</v>
      </c>
    </row>
    <row r="65" spans="1:32">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1">
        <f t="shared" si="9"/>
        <v>0</v>
      </c>
    </row>
    <row r="66" spans="1:32">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1">
        <f t="shared" si="9"/>
        <v>0</v>
      </c>
    </row>
    <row r="67" spans="1:32">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1">
        <f t="shared" si="9"/>
        <v>0</v>
      </c>
    </row>
    <row r="68" spans="1:32">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1">
        <f t="shared" si="9"/>
        <v>0</v>
      </c>
    </row>
    <row r="69" spans="1:32">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1">
        <f t="shared" si="9"/>
        <v>0</v>
      </c>
    </row>
    <row r="70" ht="17.25" customHeight="1" spans="1:32">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1">
        <f t="shared" si="9"/>
        <v>0</v>
      </c>
    </row>
    <row r="71" ht="17.25" customHeight="1" spans="1:32">
      <c r="A71" s="38" t="str">
        <f>'Section-Category'!A60</f>
        <v>Total CHILDREN</v>
      </c>
      <c r="B71" s="39">
        <f t="shared" ref="B71:AF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f t="shared" si="10"/>
        <v>0</v>
      </c>
      <c r="AE71" s="39">
        <f t="shared" si="10"/>
        <v>0</v>
      </c>
      <c r="AF71" s="39">
        <f t="shared" si="10"/>
        <v>0</v>
      </c>
    </row>
    <row r="72" spans="1:32">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row>
    <row r="73" spans="1:32">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t="s">
        <v>34</v>
      </c>
    </row>
    <row r="74" spans="1:32">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1">
        <f t="shared" ref="AF74:AF79" si="11">SUM(B74:AE74)</f>
        <v>0</v>
      </c>
    </row>
    <row r="75" spans="1:32">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1">
        <f t="shared" si="11"/>
        <v>0</v>
      </c>
    </row>
    <row r="76" spans="1:32">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1">
        <f t="shared" si="11"/>
        <v>0</v>
      </c>
    </row>
    <row r="77" spans="1:32">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1">
        <f t="shared" si="11"/>
        <v>0</v>
      </c>
    </row>
    <row r="78" spans="1:32">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1">
        <f t="shared" si="11"/>
        <v>0</v>
      </c>
    </row>
    <row r="79" ht="17.25" customHeight="1" spans="1:32">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1">
        <f t="shared" si="11"/>
        <v>0</v>
      </c>
    </row>
    <row r="80" ht="17.25" customHeight="1" spans="1:32">
      <c r="A80" s="38" t="str">
        <f>'Section-Category'!A70</f>
        <v>Total TRANSPORTATION</v>
      </c>
      <c r="B80" s="39">
        <f t="shared" ref="B80:AF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f t="shared" si="12"/>
        <v>0</v>
      </c>
      <c r="AE80" s="39">
        <f t="shared" si="12"/>
        <v>0</v>
      </c>
      <c r="AF80" s="39">
        <f t="shared" si="12"/>
        <v>0</v>
      </c>
    </row>
    <row r="81" spans="1:32">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spans="1:32">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t="s">
        <v>34</v>
      </c>
    </row>
    <row r="83" spans="1:32">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1">
        <f>SUM(B83:AE83)</f>
        <v>0</v>
      </c>
    </row>
    <row r="84" spans="1:32">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1">
        <f>SUM(B84:AE84)</f>
        <v>0</v>
      </c>
    </row>
    <row r="85" spans="1:32">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1">
        <f>SUM(B85:AE85)</f>
        <v>0</v>
      </c>
    </row>
    <row r="86" spans="1:32">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1">
        <f>SUM(B86:AE86)</f>
        <v>0</v>
      </c>
    </row>
    <row r="87" ht="17.25" customHeight="1" spans="1:32">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1">
        <f>SUM(B87:AE87)</f>
        <v>0</v>
      </c>
    </row>
    <row r="88" ht="17.25" customHeight="1" spans="1:32">
      <c r="A88" s="38" t="str">
        <f>'Section-Category'!A79</f>
        <v>Total HEALTH</v>
      </c>
      <c r="B88" s="39">
        <f t="shared" ref="B88:AF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f t="shared" si="13"/>
        <v>0</v>
      </c>
      <c r="AE88" s="39">
        <f t="shared" si="13"/>
        <v>0</v>
      </c>
      <c r="AF88" s="39">
        <f t="shared" si="13"/>
        <v>0</v>
      </c>
    </row>
    <row r="90" spans="1:32">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t="s">
        <v>34</v>
      </c>
    </row>
    <row r="91" spans="1:32">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1">
        <f>SUM(B91:AE91)</f>
        <v>0</v>
      </c>
    </row>
    <row r="92" spans="1:32">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1">
        <f>SUM(B92:AE92)</f>
        <v>0</v>
      </c>
    </row>
    <row r="93" spans="1:32">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1">
        <f>SUM(B93:AE93)</f>
        <v>0</v>
      </c>
    </row>
    <row r="94" ht="17.25" customHeight="1" spans="1:32">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1">
        <f>SUM(B94:AE94)</f>
        <v>0</v>
      </c>
    </row>
    <row r="95" ht="17.25" customHeight="1" spans="1:32">
      <c r="A95" s="38" t="str">
        <f>'Section-Category'!A99</f>
        <v>Total EDUCATION</v>
      </c>
      <c r="B95" s="42">
        <f t="shared" ref="B95:AF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f t="shared" si="14"/>
        <v>0</v>
      </c>
      <c r="AE95" s="42">
        <f t="shared" si="14"/>
        <v>0</v>
      </c>
      <c r="AF95" s="42">
        <f t="shared" si="14"/>
        <v>0</v>
      </c>
    </row>
    <row r="96" spans="1:32">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row>
    <row r="97" spans="1:32">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t="s">
        <v>34</v>
      </c>
    </row>
    <row r="98" spans="1:32">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1">
        <f>SUM(B98:AE98)</f>
        <v>0</v>
      </c>
    </row>
    <row r="99" spans="1:32">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1">
        <f>SUM(B99:AE99)</f>
        <v>0</v>
      </c>
    </row>
    <row r="100" spans="1:32">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1">
        <f>SUM(B100:AE100)</f>
        <v>0</v>
      </c>
    </row>
    <row r="101" ht="17.25" customHeight="1" spans="1:32">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1">
        <f>SUM(B101:AE101)</f>
        <v>0</v>
      </c>
    </row>
    <row r="102" ht="17.25" customHeight="1" spans="1:32">
      <c r="A102" s="38" t="str">
        <f>'Section-Category'!A107</f>
        <v>Total CHARITY/GIFTS</v>
      </c>
      <c r="B102" s="42">
        <f t="shared" ref="B102:AF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f t="shared" si="15"/>
        <v>0</v>
      </c>
      <c r="AE102" s="42">
        <f t="shared" si="15"/>
        <v>0</v>
      </c>
      <c r="AF102" s="42">
        <f t="shared" si="15"/>
        <v>0</v>
      </c>
    </row>
    <row r="103" spans="1:32">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spans="1:32">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t="s">
        <v>34</v>
      </c>
    </row>
    <row r="105" spans="1:32">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1">
        <f>SUM(B105:AE105)</f>
        <v>0</v>
      </c>
    </row>
    <row r="106" spans="1:32">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1">
        <f>SUM(B106:AE106)</f>
        <v>0</v>
      </c>
    </row>
    <row r="107" spans="1:32">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1">
        <f>SUM(B107:AE107)</f>
        <v>0</v>
      </c>
    </row>
    <row r="108" ht="17.25" customHeight="1" spans="1:32">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1">
        <f>SUM(B108:AE108)</f>
        <v>0</v>
      </c>
    </row>
    <row r="109" ht="17.25" customHeight="1" spans="1:32">
      <c r="A109" s="38" t="str">
        <f>'Section-Category'!A115</f>
        <v>Total OBLIGATIONS</v>
      </c>
      <c r="B109" s="39">
        <f t="shared" ref="B109:AF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f t="shared" si="16"/>
        <v>0</v>
      </c>
      <c r="AE109" s="39">
        <f t="shared" si="16"/>
        <v>0</v>
      </c>
      <c r="AF109" s="39">
        <f t="shared" si="16"/>
        <v>0</v>
      </c>
    </row>
    <row r="110" spans="1:32">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spans="1:32">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row>
    <row r="112" spans="1:32">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1"/>
    </row>
    <row r="113" spans="1:32">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1"/>
    </row>
    <row r="114" spans="1:32">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1"/>
    </row>
    <row r="115" ht="17.25" customHeight="1" spans="1:32">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1"/>
    </row>
    <row r="116" ht="17.25" customHeight="1" spans="1:32">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row>
    <row r="117" spans="1:32">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row>
    <row r="118" spans="1:32">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t="s">
        <v>34</v>
      </c>
    </row>
    <row r="119" spans="1:32">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1">
        <f t="shared" ref="AF119:AF129" si="17">SUM(B119:AE119)</f>
        <v>0</v>
      </c>
    </row>
    <row r="120" spans="1:32">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1">
        <f t="shared" si="17"/>
        <v>0</v>
      </c>
    </row>
    <row r="121" spans="1:32">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1">
        <f t="shared" si="17"/>
        <v>0</v>
      </c>
    </row>
    <row r="122" spans="1:32">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1">
        <f t="shared" si="17"/>
        <v>0</v>
      </c>
    </row>
    <row r="123" spans="1:32">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1">
        <f t="shared" si="17"/>
        <v>0</v>
      </c>
    </row>
    <row r="124" spans="1:32">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1">
        <f t="shared" si="17"/>
        <v>0</v>
      </c>
    </row>
    <row r="125" spans="1:32">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1">
        <f t="shared" si="17"/>
        <v>0</v>
      </c>
    </row>
    <row r="126" spans="1:32">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1">
        <f t="shared" si="17"/>
        <v>0</v>
      </c>
    </row>
    <row r="127" spans="1:32">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1">
        <f t="shared" si="17"/>
        <v>0</v>
      </c>
    </row>
    <row r="128" spans="1:32">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1">
        <f t="shared" si="17"/>
        <v>0</v>
      </c>
    </row>
    <row r="129" ht="17.25" customHeight="1" spans="1:37">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1">
        <f t="shared" si="17"/>
        <v>0</v>
      </c>
    </row>
    <row r="130" ht="17.25" customHeight="1" spans="1:37">
      <c r="A130" s="38" t="str">
        <f>'Section-Category'!A138</f>
        <v>Total ENTERTAINMENT</v>
      </c>
      <c r="B130" s="39">
        <f t="shared" ref="B130:AF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f t="shared" si="18"/>
        <v>0</v>
      </c>
      <c r="AE130" s="39">
        <f t="shared" si="18"/>
        <v>0</v>
      </c>
      <c r="AF130" s="39">
        <f t="shared" si="18"/>
        <v>0</v>
      </c>
    </row>
    <row r="131" spans="1:37">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43"/>
    </row>
    <row r="132" spans="1:37">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row>
    <row r="133" spans="1:37">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1"/>
    </row>
    <row r="134" spans="1:37">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1"/>
    </row>
    <row r="135" spans="1:37">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1"/>
    </row>
    <row r="136" ht="17.25" customHeight="1" spans="1:37">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1"/>
    </row>
    <row r="137" ht="17.25" customHeight="1" spans="1:37">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row>
    <row r="138" spans="1:37">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spans="1:37">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t="s">
        <v>34</v>
      </c>
    </row>
    <row r="140" spans="1:37">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1">
        <f t="shared" ref="AF140:AF145" si="19">SUM(B140:AE140)</f>
        <v>0</v>
      </c>
    </row>
    <row r="141" spans="1:37">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1">
        <f t="shared" si="19"/>
        <v>0</v>
      </c>
    </row>
    <row r="142" spans="1:37">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1">
        <f t="shared" si="19"/>
        <v>0</v>
      </c>
    </row>
    <row r="143" spans="1:37">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1">
        <f t="shared" si="19"/>
        <v>0</v>
      </c>
    </row>
    <row r="144" spans="1:37">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1">
        <f t="shared" si="19"/>
        <v>0</v>
      </c>
      <c r="AK144" s="44"/>
    </row>
    <row r="145" ht="17.25" customHeight="1" spans="1:32">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1">
        <f t="shared" si="19"/>
        <v>0</v>
      </c>
    </row>
    <row r="146" ht="17.25" customHeight="1" spans="1:32">
      <c r="A146" s="38" t="str">
        <f>'Section-Category'!A156</f>
        <v>Total SUBSCRIPTIONS</v>
      </c>
      <c r="B146" s="39">
        <f t="shared" ref="B146:AF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f t="shared" si="20"/>
        <v>0</v>
      </c>
      <c r="AE146" s="39">
        <f t="shared" si="20"/>
        <v>0</v>
      </c>
      <c r="AF146" s="39">
        <f t="shared" si="20"/>
        <v>0</v>
      </c>
    </row>
    <row r="147" spans="1:32">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spans="1:32">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t="s">
        <v>34</v>
      </c>
    </row>
    <row r="149" spans="1:32">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1">
        <f t="shared" ref="AF149:AF154" si="21">SUM(B149:AE149)</f>
        <v>0</v>
      </c>
    </row>
    <row r="150" spans="1:32">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1">
        <f t="shared" si="21"/>
        <v>0</v>
      </c>
    </row>
    <row r="151" spans="1:32">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1">
        <f t="shared" si="21"/>
        <v>0</v>
      </c>
    </row>
    <row r="152" spans="1:32">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1">
        <f t="shared" si="21"/>
        <v>0</v>
      </c>
    </row>
    <row r="153" spans="1:32">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1">
        <f t="shared" si="21"/>
        <v>0</v>
      </c>
    </row>
    <row r="154" ht="17.25" customHeight="1" spans="1:32">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1">
        <f t="shared" si="21"/>
        <v>0</v>
      </c>
    </row>
    <row r="155" ht="17.25" customHeight="1" spans="1:32">
      <c r="A155" s="38" t="str">
        <f>'Section-Category'!A166</f>
        <v>Total VACATION</v>
      </c>
      <c r="B155" s="39">
        <f t="shared" ref="B155:AF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f t="shared" si="22"/>
        <v>0</v>
      </c>
      <c r="AE155" s="39">
        <f t="shared" si="22"/>
        <v>0</v>
      </c>
      <c r="AF155" s="39">
        <f t="shared" si="22"/>
        <v>0</v>
      </c>
    </row>
    <row r="156" spans="1:32">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row>
    <row r="157" spans="1:32">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t="s">
        <v>34</v>
      </c>
    </row>
    <row r="158" spans="1:32">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1">
        <f>SUM(B158:AE158)</f>
        <v>0</v>
      </c>
    </row>
    <row r="159" spans="1:32">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1">
        <f>SUM(B159:AE159)</f>
        <v>0</v>
      </c>
    </row>
    <row r="160" spans="1:32">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1">
        <f>SUM(B160:AE160)</f>
        <v>0</v>
      </c>
    </row>
    <row r="161" spans="1:32">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1">
        <f>SUM(B161:AE161)</f>
        <v>0</v>
      </c>
    </row>
    <row r="162" ht="17.25" customHeight="1" spans="1:32">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1">
        <f>SUM(B162:AE162)</f>
        <v>0</v>
      </c>
    </row>
    <row r="163" ht="17.25" customHeight="1" spans="1:32">
      <c r="A163" s="38" t="str">
        <f>'Section-Category'!A175</f>
        <v>Total MISCELLANEOUS</v>
      </c>
      <c r="B163" s="39">
        <f t="shared" ref="B163:AF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f t="shared" si="23"/>
        <v>0</v>
      </c>
      <c r="AE163" s="39">
        <f t="shared" si="23"/>
        <v>0</v>
      </c>
      <c r="AF163" s="39">
        <f t="shared" si="23"/>
        <v>0</v>
      </c>
    </row>
    <row r="164" spans="1:32">
      <c r="A164" s="44" t="s">
        <v>49</v>
      </c>
      <c r="B164" s="30">
        <f t="shared" ref="B164:AF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f t="shared" si="24"/>
        <v>0</v>
      </c>
      <c r="AE164" s="30">
        <f t="shared" si="24"/>
        <v>0</v>
      </c>
      <c r="AF164" s="30">
        <f t="shared" si="24"/>
        <v>0</v>
      </c>
    </row>
    <row r="165" spans="1:32">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spans="1:32">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spans="1:32">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spans="1:32">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row>
    <row r="169" spans="1:32">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row>
    <row r="170" spans="1:32">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row>
    <row r="171" spans="1:32">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row>
    <row r="172" spans="1:32">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row>
    <row r="173" spans="1:32">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spans="1:32">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spans="1:32">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6.5" customHeight="1" spans="1:32">
      <c r="A176" t="str">
        <f>'Section-Category'!A12</f>
        <v>Emergency Fund</v>
      </c>
      <c r="B176" s="50" t="str">
        <f t="shared" ref="B176:B239" si="25">IF(TRIM($C176)="0","0",ROUND(($C176/C$276)*100,2))</f>
        <v>0</v>
      </c>
      <c r="C176" s="51">
        <f>AF26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6.5" customHeight="1" spans="1:32">
      <c r="A177" t="str">
        <f>'Section-Category'!A13</f>
        <v>Investments</v>
      </c>
      <c r="B177" s="50" t="str">
        <f t="shared" si="25"/>
        <v>0</v>
      </c>
      <c r="C177" s="51">
        <f>AF27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6.5" customHeight="1" spans="1:32">
      <c r="A178" t="str">
        <f>'Section-Category'!A14</f>
        <v>Pocket Money Wife</v>
      </c>
      <c r="B178" s="50" t="str">
        <f t="shared" si="25"/>
        <v>0</v>
      </c>
      <c r="C178" s="51">
        <f>AF28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row>
    <row r="179" ht="16.5" customHeight="1" spans="1:32">
      <c r="A179" t="str">
        <f>'Section-Category'!A15</f>
        <v>&lt;Name-Of-Entry&gt;</v>
      </c>
      <c r="B179" s="50" t="str">
        <f t="shared" si="25"/>
        <v>0</v>
      </c>
      <c r="C179" s="51">
        <f>AF29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row>
    <row r="180" ht="16.5" customHeight="1" spans="1:32">
      <c r="A180" t="str">
        <f>'Section-Category'!A16</f>
        <v>&lt;Name-Of-Entry&gt;</v>
      </c>
      <c r="B180" s="50" t="str">
        <f t="shared" si="25"/>
        <v>0</v>
      </c>
      <c r="C180" s="51">
        <f>AF30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row>
    <row r="181" ht="16.5" customHeight="1" spans="1:32">
      <c r="A181" t="str">
        <f>'Section-Category'!A21</f>
        <v>Mortgage/Rent</v>
      </c>
      <c r="B181" s="50" t="str">
        <f t="shared" si="25"/>
        <v>0</v>
      </c>
      <c r="C181" s="51">
        <f t="shared" ref="C181:C193" si="26">AF34</f>
        <v>0</v>
      </c>
    </row>
    <row r="182" ht="16.5" customHeight="1" spans="1:32">
      <c r="A182" t="str">
        <f>'Section-Category'!A22</f>
        <v>Electricity</v>
      </c>
      <c r="B182" s="50" t="str">
        <f t="shared" si="25"/>
        <v>0</v>
      </c>
      <c r="C182" s="51">
        <f t="shared" si="26"/>
        <v>0</v>
      </c>
    </row>
    <row r="183" ht="16.5" customHeight="1" spans="1:32">
      <c r="A183" t="str">
        <f>'Section-Category'!A23</f>
        <v>Gas/Oil</v>
      </c>
      <c r="B183" s="50" t="str">
        <f t="shared" si="25"/>
        <v>0</v>
      </c>
      <c r="C183" s="51">
        <f t="shared" si="26"/>
        <v>0</v>
      </c>
    </row>
    <row r="184" ht="16.5" customHeight="1" spans="1:32">
      <c r="A184" t="str">
        <f>'Section-Category'!A24</f>
        <v>Water/Sewer/Trash</v>
      </c>
      <c r="B184" s="50" t="str">
        <f t="shared" si="25"/>
        <v>0</v>
      </c>
      <c r="C184" s="51">
        <f t="shared" si="26"/>
        <v>0</v>
      </c>
    </row>
    <row r="185" ht="16.5" customHeight="1" spans="1:32">
      <c r="A185" t="str">
        <f>'Section-Category'!A25</f>
        <v>Phone</v>
      </c>
      <c r="B185" s="50" t="str">
        <f t="shared" si="25"/>
        <v>0</v>
      </c>
      <c r="C185" s="51">
        <f t="shared" si="26"/>
        <v>0</v>
      </c>
    </row>
    <row r="186" ht="16.5" customHeight="1" spans="1:32">
      <c r="A186" t="str">
        <f>'Section-Category'!A26</f>
        <v>Cable/Satellite</v>
      </c>
      <c r="B186" s="50" t="str">
        <f t="shared" si="25"/>
        <v>0</v>
      </c>
      <c r="C186" s="51">
        <f t="shared" si="26"/>
        <v>0</v>
      </c>
    </row>
    <row r="187" ht="16.5" customHeight="1" spans="1:32">
      <c r="A187" t="str">
        <f>'Section-Category'!A27</f>
        <v>Internet</v>
      </c>
      <c r="B187" s="50" t="str">
        <f t="shared" si="25"/>
        <v>0</v>
      </c>
      <c r="C187" s="51">
        <f t="shared" si="26"/>
        <v>0</v>
      </c>
    </row>
    <row r="188" ht="16.5" customHeight="1" spans="1:32">
      <c r="A188" t="str">
        <f>'Section-Category'!A28</f>
        <v>Furnishings/Appliances</v>
      </c>
      <c r="B188" s="50" t="str">
        <f t="shared" si="25"/>
        <v>0</v>
      </c>
      <c r="C188" s="51">
        <f t="shared" si="26"/>
        <v>0</v>
      </c>
    </row>
    <row r="189" ht="16.5" customHeight="1" spans="1:32">
      <c r="A189" t="str">
        <f>'Section-Category'!A29</f>
        <v>Lawn/Garden</v>
      </c>
      <c r="B189" s="50" t="str">
        <f t="shared" si="25"/>
        <v>0</v>
      </c>
      <c r="C189" s="51">
        <f t="shared" si="26"/>
        <v>0</v>
      </c>
    </row>
    <row r="190" ht="16.5" customHeight="1" spans="1:32">
      <c r="A190" t="str">
        <f>'Section-Category'!A30</f>
        <v>Home Supplies</v>
      </c>
      <c r="B190" s="50" t="str">
        <f t="shared" si="25"/>
        <v>0</v>
      </c>
      <c r="C190" s="51">
        <f t="shared" si="26"/>
        <v>0</v>
      </c>
    </row>
    <row r="191" ht="16.5" customHeight="1" spans="1:32">
      <c r="A191" t="str">
        <f>'Section-Category'!A31</f>
        <v>Maintenance</v>
      </c>
      <c r="B191" s="50" t="str">
        <f t="shared" si="25"/>
        <v>0</v>
      </c>
      <c r="C191" s="51">
        <f t="shared" si="26"/>
        <v>0</v>
      </c>
    </row>
    <row r="192" ht="16.5" customHeight="1" spans="1:32">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AF50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AF63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AF74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AF83</f>
        <v>0</v>
      </c>
    </row>
    <row r="219" ht="16.5" customHeight="1" spans="1:3">
      <c r="A219" t="str">
        <f>'Section-Category'!A75</f>
        <v>Medicine/Drugs</v>
      </c>
      <c r="B219" s="50" t="str">
        <f t="shared" si="25"/>
        <v>0</v>
      </c>
      <c r="C219" s="54">
        <f>AF84</f>
        <v>0</v>
      </c>
    </row>
    <row r="220" ht="16.5" customHeight="1" spans="1:3">
      <c r="A220" t="str">
        <f>'Section-Category'!A76</f>
        <v>Lab Test</v>
      </c>
      <c r="B220" s="50" t="str">
        <f t="shared" si="25"/>
        <v>0</v>
      </c>
      <c r="C220" s="54">
        <f>AF85</f>
        <v>0</v>
      </c>
    </row>
    <row r="221" ht="16.5" customHeight="1" spans="1:3">
      <c r="A221" t="str">
        <f>'Section-Category'!A77</f>
        <v>Consultation</v>
      </c>
      <c r="B221" s="50" t="str">
        <f t="shared" si="25"/>
        <v>0</v>
      </c>
      <c r="C221" s="54">
        <f>AF86</f>
        <v>0</v>
      </c>
    </row>
    <row r="222" ht="16.5" customHeight="1" spans="1:3">
      <c r="A222" t="str">
        <f>'Section-Category'!A78</f>
        <v>Other</v>
      </c>
      <c r="B222" s="50" t="str">
        <f t="shared" si="25"/>
        <v>0</v>
      </c>
      <c r="C222" s="54">
        <f>AF87</f>
        <v>0</v>
      </c>
    </row>
    <row r="223" ht="16.5" customHeight="1" spans="1:3">
      <c r="A223" t="str">
        <f>'Section-Category'!A83</f>
        <v>Pocket Money Wife</v>
      </c>
      <c r="B223" s="50" t="str">
        <f t="shared" si="25"/>
        <v>0</v>
      </c>
      <c r="C223" s="51">
        <f>AF133</f>
        <v>0</v>
      </c>
    </row>
    <row r="224" ht="16.5" customHeight="1" spans="1:3">
      <c r="A224" t="str">
        <f>'Section-Category'!A84</f>
        <v>Car Repair / Workshop</v>
      </c>
      <c r="B224" s="50" t="str">
        <f t="shared" si="25"/>
        <v>0</v>
      </c>
      <c r="C224" s="51">
        <f>AF134</f>
        <v>0</v>
      </c>
    </row>
    <row r="225" ht="16.5" customHeight="1" spans="1:3">
      <c r="A225" t="str">
        <f>'Section-Category'!A85</f>
        <v>Food</v>
      </c>
      <c r="B225" s="50" t="str">
        <f t="shared" si="25"/>
        <v>0</v>
      </c>
      <c r="C225" s="51">
        <f>AF135</f>
        <v>0</v>
      </c>
    </row>
    <row r="226" ht="16.5" customHeight="1" spans="1:3">
      <c r="A226" t="str">
        <f>'Section-Category'!A89</f>
        <v>Pocket Money Husband</v>
      </c>
      <c r="B226" s="50" t="str">
        <f t="shared" si="25"/>
        <v>0</v>
      </c>
      <c r="C226" s="51">
        <f>AF136</f>
        <v>0</v>
      </c>
    </row>
    <row r="227" ht="16.5" customHeight="1" spans="1:3">
      <c r="A227" t="str">
        <f>'Section-Category'!A90</f>
        <v>Other</v>
      </c>
      <c r="B227" s="50" t="str">
        <f t="shared" si="25"/>
        <v>0</v>
      </c>
      <c r="C227" s="51">
        <f>AF137</f>
        <v>0</v>
      </c>
    </row>
    <row r="228" ht="16.5" customHeight="1" spans="1:3">
      <c r="A228" t="str">
        <f>'Section-Category'!A95</f>
        <v>Tuition</v>
      </c>
      <c r="B228" s="50" t="str">
        <f t="shared" si="25"/>
        <v>0</v>
      </c>
      <c r="C228" s="51">
        <f>AF91</f>
        <v>0</v>
      </c>
    </row>
    <row r="229" ht="16.5" customHeight="1" spans="1:3">
      <c r="A229" t="str">
        <f>'Section-Category'!A96</f>
        <v>Books</v>
      </c>
      <c r="B229" s="50" t="str">
        <f t="shared" si="25"/>
        <v>0</v>
      </c>
      <c r="C229" s="51">
        <f>AF92</f>
        <v>0</v>
      </c>
    </row>
    <row r="230" ht="16.5" customHeight="1" spans="1:3">
      <c r="A230" t="str">
        <f>'Section-Category'!A97</f>
        <v>Music Lessons</v>
      </c>
      <c r="B230" s="50" t="str">
        <f t="shared" si="25"/>
        <v>0</v>
      </c>
      <c r="C230" s="51">
        <f>AF93</f>
        <v>0</v>
      </c>
    </row>
    <row r="231" ht="16.5" customHeight="1" spans="1:3">
      <c r="A231" t="str">
        <f>'Section-Category'!A98</f>
        <v>Other</v>
      </c>
      <c r="B231" s="50" t="str">
        <f t="shared" si="25"/>
        <v>0</v>
      </c>
      <c r="C231" s="51">
        <f>AF94</f>
        <v>0</v>
      </c>
    </row>
    <row r="232" ht="16.5" customHeight="1" spans="1:3">
      <c r="A232" t="str">
        <f>'Section-Category'!A103</f>
        <v>Gifts Given</v>
      </c>
      <c r="B232" s="50" t="str">
        <f t="shared" si="25"/>
        <v>0</v>
      </c>
      <c r="C232" s="51">
        <f>AF98</f>
        <v>0</v>
      </c>
    </row>
    <row r="233" ht="16.5" customHeight="1" spans="1:3">
      <c r="A233" t="str">
        <f>'Section-Category'!A104</f>
        <v>Couple Charity</v>
      </c>
      <c r="B233" s="50" t="str">
        <f t="shared" si="25"/>
        <v>0</v>
      </c>
      <c r="C233" s="51">
        <f>AF99</f>
        <v>0</v>
      </c>
    </row>
    <row r="234" ht="16.5" customHeight="1" spans="1:3">
      <c r="A234" t="str">
        <f>'Section-Category'!A105</f>
        <v>Mother Charity</v>
      </c>
      <c r="B234" s="50" t="str">
        <f t="shared" si="25"/>
        <v>0</v>
      </c>
      <c r="C234" s="51">
        <f>AF100</f>
        <v>0</v>
      </c>
    </row>
    <row r="235" ht="16.5" customHeight="1" spans="1:3">
      <c r="A235" t="str">
        <f>'Section-Category'!A106</f>
        <v>Other</v>
      </c>
      <c r="B235" s="50" t="str">
        <f t="shared" si="25"/>
        <v>0</v>
      </c>
      <c r="C235" s="51">
        <f>AF101</f>
        <v>0</v>
      </c>
    </row>
    <row r="236" ht="16.5" customHeight="1" spans="1:3">
      <c r="A236" t="str">
        <f>'Section-Category'!A111</f>
        <v>Credit Card Debt</v>
      </c>
      <c r="B236" s="50" t="str">
        <f t="shared" si="25"/>
        <v>0</v>
      </c>
      <c r="C236" s="54">
        <f>AF105</f>
        <v>0</v>
      </c>
    </row>
    <row r="237" ht="16.5" customHeight="1" spans="1:3">
      <c r="A237" t="str">
        <f>'Section-Category'!A112</f>
        <v>Punjab ST on CC Fee @16</v>
      </c>
      <c r="B237" s="50" t="str">
        <f t="shared" si="25"/>
        <v>0</v>
      </c>
      <c r="C237" s="54">
        <f>AF106</f>
        <v>0</v>
      </c>
    </row>
    <row r="238" ht="16.5" customHeight="1" spans="1:3">
      <c r="A238" t="str">
        <f>'Section-Category'!A113</f>
        <v>Advance Tax 5%</v>
      </c>
      <c r="B238" s="50" t="str">
        <f t="shared" si="25"/>
        <v>0</v>
      </c>
      <c r="C238" s="54">
        <f>AF107</f>
        <v>0</v>
      </c>
    </row>
    <row r="239" ht="16.5" customHeight="1" spans="1:3">
      <c r="A239" t="str">
        <f>'Section-Category'!A114</f>
        <v>Other</v>
      </c>
      <c r="B239" s="50" t="str">
        <f t="shared" si="25"/>
        <v>0</v>
      </c>
      <c r="C239" s="54">
        <f>AF108</f>
        <v>0</v>
      </c>
    </row>
    <row r="240" ht="16.5" customHeight="1" spans="1:3">
      <c r="A240" t="s">
        <v>53</v>
      </c>
      <c r="B240" s="50" t="str">
        <f t="shared" ref="B240:B275" si="30">IF(TRIM($C240)="0","0",ROUND(($C240/C$276)*100,2))</f>
        <v>0</v>
      </c>
      <c r="C240" s="51">
        <f>AF112</f>
        <v>0</v>
      </c>
    </row>
    <row r="241" ht="16.5" customHeight="1" spans="1:3">
      <c r="A241" t="s">
        <v>53</v>
      </c>
      <c r="B241" s="50" t="str">
        <f t="shared" si="30"/>
        <v>0</v>
      </c>
      <c r="C241" s="51">
        <f>AF113</f>
        <v>0</v>
      </c>
    </row>
    <row r="242" ht="16.5" customHeight="1" spans="1:3">
      <c r="A242" t="s">
        <v>53</v>
      </c>
      <c r="B242" s="50" t="str">
        <f t="shared" si="30"/>
        <v>0</v>
      </c>
      <c r="C242" s="51">
        <f>AF114</f>
        <v>0</v>
      </c>
    </row>
    <row r="243" ht="16.5" customHeight="1" spans="1:3">
      <c r="A243" t="s">
        <v>53</v>
      </c>
      <c r="B243" s="50" t="str">
        <f t="shared" si="30"/>
        <v>0</v>
      </c>
      <c r="C243" s="51">
        <f>AF115</f>
        <v>0</v>
      </c>
    </row>
    <row r="244" ht="16.5" customHeight="1" spans="1:3">
      <c r="A244" t="str">
        <f>'Section-Category'!A127</f>
        <v>Activities</v>
      </c>
      <c r="B244" s="50" t="str">
        <f t="shared" si="30"/>
        <v>0</v>
      </c>
      <c r="C244" s="51">
        <f t="shared" ref="C244:C254" si="31">AF119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AF133</f>
        <v>0</v>
      </c>
    </row>
    <row r="256" ht="16.5" customHeight="1" spans="1:3">
      <c r="A256" t="str">
        <f>'Section-Category'!A143</f>
        <v>&lt;Name-Of-Entry&gt;</v>
      </c>
      <c r="B256" s="50" t="str">
        <f t="shared" si="30"/>
        <v>0</v>
      </c>
      <c r="C256" s="51">
        <f>AF134</f>
        <v>0</v>
      </c>
    </row>
    <row r="257" ht="16.5" customHeight="1" spans="1:3">
      <c r="A257" t="str">
        <f>'Section-Category'!A144</f>
        <v>&lt;Name-Of-Entry&gt;</v>
      </c>
      <c r="B257" s="50" t="str">
        <f t="shared" si="30"/>
        <v>0</v>
      </c>
      <c r="C257" s="51">
        <f>AF135</f>
        <v>0</v>
      </c>
    </row>
    <row r="258" ht="16.5" customHeight="1" spans="1:3">
      <c r="A258" t="str">
        <f>'Section-Category'!A145</f>
        <v>&lt;Name-Of-Entry&gt;</v>
      </c>
      <c r="B258" s="50" t="str">
        <f t="shared" si="30"/>
        <v>0</v>
      </c>
      <c r="C258" s="51">
        <f>AF136</f>
        <v>0</v>
      </c>
    </row>
    <row r="259" ht="16.5" customHeight="1" spans="1:3">
      <c r="A259" t="str">
        <f>'Section-Category'!A150</f>
        <v>Netflix</v>
      </c>
      <c r="B259" s="50" t="str">
        <f t="shared" si="30"/>
        <v>0</v>
      </c>
      <c r="C259" s="51">
        <f t="shared" ref="C259:C264" si="32">AF140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AF149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AF158</f>
        <v>0</v>
      </c>
    </row>
    <row r="272" ht="16.5" customHeight="1" spans="1:3">
      <c r="A272" t="str">
        <f>'Section-Category'!A171</f>
        <v>Postage</v>
      </c>
      <c r="B272" s="50" t="str">
        <f t="shared" si="30"/>
        <v>0</v>
      </c>
      <c r="C272" s="51">
        <f>AF159</f>
        <v>0</v>
      </c>
    </row>
    <row r="273" ht="16.5" customHeight="1" spans="1:3">
      <c r="A273" t="str">
        <f>'Section-Category'!A172</f>
        <v>Other</v>
      </c>
      <c r="B273" s="50" t="str">
        <f t="shared" si="30"/>
        <v>0</v>
      </c>
      <c r="C273" s="51">
        <f>AF160</f>
        <v>0</v>
      </c>
    </row>
    <row r="274" ht="16.5" customHeight="1" spans="1:3">
      <c r="A274" t="str">
        <f>'Section-Category'!A173</f>
        <v>&lt;Name-Of-Entry&gt;</v>
      </c>
      <c r="B274" s="50" t="str">
        <f t="shared" si="30"/>
        <v>0</v>
      </c>
      <c r="C274" s="51">
        <f>AF161</f>
        <v>0</v>
      </c>
    </row>
    <row r="275" ht="16.5" customHeight="1" spans="1:3">
      <c r="A275" t="str">
        <f>'Section-Category'!A174</f>
        <v>&lt;Name-Of-Entry&gt;</v>
      </c>
      <c r="B275" s="50" t="str">
        <f t="shared" si="30"/>
        <v>0</v>
      </c>
      <c r="C275" s="51">
        <f>AF162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AF31</f>
        <v>0</v>
      </c>
    </row>
    <row r="279" spans="1:3">
      <c r="A279" s="44" t="str">
        <f>'Section-Category'!A20</f>
        <v>HOME EXPENSES</v>
      </c>
      <c r="B279" s="59" t="str">
        <f t="shared" si="34"/>
        <v>0</v>
      </c>
      <c r="C279" s="60">
        <f>AF47</f>
        <v>0</v>
      </c>
    </row>
    <row r="280" spans="1:3">
      <c r="A280" s="44" t="str">
        <f>'Section-Category'!A37</f>
        <v>DAILY LIVING</v>
      </c>
      <c r="B280" s="59" t="str">
        <f t="shared" si="34"/>
        <v>0</v>
      </c>
      <c r="C280" s="60">
        <f>AF60</f>
        <v>0</v>
      </c>
    </row>
    <row r="281" spans="1:3">
      <c r="A281" s="44" t="str">
        <f>'Section-Category'!A51</f>
        <v>CHILDREN</v>
      </c>
      <c r="B281" s="59" t="str">
        <f t="shared" si="34"/>
        <v>0</v>
      </c>
      <c r="C281" s="60">
        <f>AF71</f>
        <v>0</v>
      </c>
    </row>
    <row r="282" spans="1:3">
      <c r="A282" s="44" t="str">
        <f>'Section-Category'!A63</f>
        <v>TRANSPORTATION</v>
      </c>
      <c r="B282" s="59" t="str">
        <f t="shared" si="34"/>
        <v>0</v>
      </c>
      <c r="C282" s="60">
        <f>AF80</f>
        <v>0</v>
      </c>
    </row>
    <row r="283" spans="1:3">
      <c r="A283" s="44" t="str">
        <f>'Section-Category'!A73</f>
        <v>HEALTH</v>
      </c>
      <c r="B283" s="59" t="str">
        <f t="shared" si="34"/>
        <v>0</v>
      </c>
      <c r="C283" s="60">
        <f>AF88</f>
        <v>0</v>
      </c>
    </row>
    <row r="284" spans="1:3">
      <c r="A284" s="44" t="str">
        <f>'Section-Category'!A82</f>
        <v>Petty Cash Used</v>
      </c>
      <c r="B284" s="59" t="str">
        <f t="shared" si="34"/>
        <v>0</v>
      </c>
      <c r="C284" s="60">
        <f>AF23</f>
        <v>0</v>
      </c>
    </row>
    <row r="285" spans="1:3">
      <c r="A285" s="44" t="str">
        <f>'Section-Category'!A94</f>
        <v>EDUCATION</v>
      </c>
      <c r="B285" s="59" t="str">
        <f t="shared" si="34"/>
        <v>0</v>
      </c>
      <c r="C285" s="60">
        <f>AF95</f>
        <v>0</v>
      </c>
    </row>
    <row r="286" spans="1:3">
      <c r="A286" s="44" t="str">
        <f>'Section-Category'!A102</f>
        <v>CHARITY/GIFTS</v>
      </c>
      <c r="B286" s="59" t="str">
        <f t="shared" si="34"/>
        <v>0</v>
      </c>
      <c r="C286" s="60">
        <f>AF102</f>
        <v>0</v>
      </c>
    </row>
    <row r="287" spans="1:3">
      <c r="A287" s="44" t="str">
        <f>'Section-Category'!A110</f>
        <v>OBLIGATIONS</v>
      </c>
      <c r="B287" s="59" t="str">
        <f t="shared" si="34"/>
        <v>0</v>
      </c>
      <c r="C287" s="60">
        <f>AF109</f>
        <v>0</v>
      </c>
    </row>
    <row r="288" spans="1:3">
      <c r="A288" s="44">
        <f>'Section-Category'!A118</f>
        <v>0</v>
      </c>
      <c r="B288" s="59" t="str">
        <f t="shared" si="34"/>
        <v>0</v>
      </c>
      <c r="C288" s="60">
        <f>AF137</f>
        <v>0</v>
      </c>
    </row>
    <row r="289" spans="1:3">
      <c r="A289" s="44" t="str">
        <f>'Section-Category'!A126</f>
        <v>ENTERTAINMENT</v>
      </c>
      <c r="B289" s="59" t="str">
        <f t="shared" si="34"/>
        <v>0</v>
      </c>
      <c r="C289" s="60">
        <f>AF130</f>
        <v>0</v>
      </c>
    </row>
    <row r="290" spans="1:3">
      <c r="A290" s="44">
        <f>'Section-Category'!A141</f>
        <v>0</v>
      </c>
      <c r="B290" s="59" t="str">
        <f t="shared" si="34"/>
        <v>0</v>
      </c>
      <c r="C290" s="60">
        <f>AF137</f>
        <v>0</v>
      </c>
    </row>
    <row r="291" spans="1:3">
      <c r="A291" s="44" t="str">
        <f>'Section-Category'!A149</f>
        <v>SUBSCRIPTIONS</v>
      </c>
      <c r="B291" s="59" t="str">
        <f t="shared" si="34"/>
        <v>0</v>
      </c>
      <c r="C291" s="60">
        <f>AF146</f>
        <v>0</v>
      </c>
    </row>
    <row r="292" spans="1:3">
      <c r="A292" s="44" t="str">
        <f>'Section-Category'!A159</f>
        <v>VACATION</v>
      </c>
      <c r="B292" s="59" t="str">
        <f t="shared" si="34"/>
        <v>0</v>
      </c>
      <c r="C292" s="60">
        <v>0</v>
      </c>
    </row>
    <row r="293" spans="1:3">
      <c r="A293" s="44" t="str">
        <f>'Section-Category'!A169</f>
        <v>MISCELLANEOUS</v>
      </c>
      <c r="B293" s="59" t="str">
        <f t="shared" si="34"/>
        <v>0</v>
      </c>
      <c r="C293" s="60">
        <f>AF163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94"/>
  <sheetViews>
    <sheetView zoomScale="111" zoomScaleNormal="111" workbookViewId="0">
      <selection activeCell="AE9" sqref="AE9"/>
    </sheetView>
  </sheetViews>
  <sheetFormatPr defaultColWidth="9.00833333333333" defaultRowHeight="16.8" customHeight="1"/>
  <cols>
    <col min="1" max="1" width="24.5" customWidth="1"/>
    <col min="2" max="12" width="18.4333333333333" customWidth="1"/>
    <col min="13" max="13" width="12.1916666666667" customWidth="1"/>
    <col min="14" max="32" width="18.4333333333333" customWidth="1"/>
    <col min="33" max="33" width="10.1166666666667" customWidth="1"/>
    <col min="38" max="38" width="24.5" customWidth="1"/>
    <col min="39" max="39" width="12.6916666666667" customWidth="1"/>
    <col min="40" max="40" width="10" customWidth="1"/>
  </cols>
  <sheetData>
    <row r="1" ht="22.5" customHeight="1" spans="1:33">
      <c r="A1" s="23" t="str">
        <f ca="1">MID(CELL("filename",A1),FIND("]",CELL("filename",A1))+1,255)</f>
        <v>Dec</v>
      </c>
      <c r="B1" s="2">
        <f>Budget!D1</f>
        <v>2026</v>
      </c>
    </row>
    <row r="2" s="22" customFormat="1" ht="18" customHeight="1" spans="1:33">
      <c r="A2" s="24" t="s">
        <v>37</v>
      </c>
      <c r="B2" s="25">
        <f>'Section-Category'!D17</f>
        <v>46357</v>
      </c>
      <c r="C2" s="25">
        <f>'Section-Category'!E17</f>
        <v>46358</v>
      </c>
      <c r="D2" s="25">
        <f>'Section-Category'!F17</f>
        <v>46359</v>
      </c>
      <c r="E2" s="25">
        <f>'Section-Category'!G17</f>
        <v>46360</v>
      </c>
      <c r="F2" s="25">
        <f>'Section-Category'!H17</f>
        <v>46361</v>
      </c>
      <c r="G2" s="25">
        <f>'Section-Category'!I17</f>
        <v>46362</v>
      </c>
      <c r="H2" s="25">
        <f>'Section-Category'!J17</f>
        <v>46363</v>
      </c>
      <c r="I2" s="25">
        <f>'Section-Category'!K17</f>
        <v>46364</v>
      </c>
      <c r="J2" s="25">
        <f>'Section-Category'!L17</f>
        <v>46365</v>
      </c>
      <c r="K2" s="25">
        <f>'Section-Category'!M17</f>
        <v>46366</v>
      </c>
      <c r="L2" s="25">
        <f>'Section-Category'!N17</f>
        <v>46367</v>
      </c>
      <c r="M2" s="25">
        <f>'Section-Category'!O17</f>
        <v>46368</v>
      </c>
      <c r="N2" s="25">
        <f>'Section-Category'!P17</f>
        <v>46369</v>
      </c>
      <c r="O2" s="25">
        <f>'Section-Category'!Q17</f>
        <v>46370</v>
      </c>
      <c r="P2" s="25">
        <f>'Section-Category'!R17</f>
        <v>46371</v>
      </c>
      <c r="Q2" s="25">
        <f>'Section-Category'!S17</f>
        <v>46372</v>
      </c>
      <c r="R2" s="25">
        <f>'Section-Category'!T17</f>
        <v>46373</v>
      </c>
      <c r="S2" s="25">
        <f>'Section-Category'!U17</f>
        <v>46374</v>
      </c>
      <c r="T2" s="25">
        <f>'Section-Category'!V17</f>
        <v>46375</v>
      </c>
      <c r="U2" s="25">
        <f>'Section-Category'!W17</f>
        <v>46376</v>
      </c>
      <c r="V2" s="25">
        <f>'Section-Category'!X17</f>
        <v>46377</v>
      </c>
      <c r="W2" s="25">
        <f>'Section-Category'!Y17</f>
        <v>46378</v>
      </c>
      <c r="X2" s="25">
        <f>'Section-Category'!Z17</f>
        <v>46379</v>
      </c>
      <c r="Y2" s="25">
        <f>'Section-Category'!AA17</f>
        <v>46380</v>
      </c>
      <c r="Z2" s="25">
        <f>'Section-Category'!AB17</f>
        <v>46381</v>
      </c>
      <c r="AA2" s="25">
        <f>'Section-Category'!AC17</f>
        <v>46382</v>
      </c>
      <c r="AB2" s="25">
        <f>'Section-Category'!AD17</f>
        <v>46383</v>
      </c>
      <c r="AC2" s="25">
        <f>'Section-Category'!AE17</f>
        <v>46384</v>
      </c>
      <c r="AD2" s="25">
        <f>'Section-Category'!AF17</f>
        <v>46385</v>
      </c>
      <c r="AE2" s="25">
        <f>'Section-Category'!AG17</f>
        <v>46386</v>
      </c>
      <c r="AF2" s="25">
        <f>'Section-Category'!AH17</f>
        <v>46387</v>
      </c>
      <c r="AG2" s="26" t="s">
        <v>38</v>
      </c>
    </row>
    <row r="3" s="22" customFormat="1" spans="1:33">
      <c r="A3" s="27"/>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row>
    <row r="4" s="22" customFormat="1" spans="1:33">
      <c r="A4" s="1" t="s">
        <v>39</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t="s">
        <v>19</v>
      </c>
    </row>
    <row r="5" s="22" customFormat="1" spans="1:33">
      <c r="A5" s="3" t="s">
        <v>40</v>
      </c>
      <c r="B5" s="29"/>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1">
        <f t="shared" ref="AG5:AG11" si="0">SUM(B5:AF5)</f>
        <v>0</v>
      </c>
    </row>
    <row r="6" s="22" customFormat="1" spans="1:33">
      <c r="A6" s="3" t="s">
        <v>41</v>
      </c>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1">
        <f t="shared" si="0"/>
        <v>0</v>
      </c>
    </row>
    <row r="7" s="22" customFormat="1" spans="1:33">
      <c r="A7" s="3" t="s">
        <v>42</v>
      </c>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1">
        <f t="shared" si="0"/>
        <v>0</v>
      </c>
    </row>
    <row r="8" s="22" customFormat="1" spans="1:33">
      <c r="A8" s="3" t="s">
        <v>43</v>
      </c>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1">
        <f t="shared" si="0"/>
        <v>0</v>
      </c>
    </row>
    <row r="9" s="22" customFormat="1" spans="1:33">
      <c r="A9" s="3" t="s">
        <v>44</v>
      </c>
      <c r="B9" s="29"/>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1">
        <f t="shared" si="0"/>
        <v>0</v>
      </c>
    </row>
    <row r="10" s="22" customFormat="1" spans="1:33">
      <c r="A10" s="3" t="s">
        <v>45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1">
        <f t="shared" si="0"/>
        <v>0</v>
      </c>
    </row>
    <row r="11" s="22" customFormat="1" ht="17.25" customHeight="1" spans="1:33">
      <c r="A11" s="3" t="s">
        <v>46</v>
      </c>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1">
        <f t="shared" si="0"/>
        <v>0</v>
      </c>
    </row>
    <row r="12" s="22" customFormat="1" ht="18" customHeight="1" spans="1:33">
      <c r="A12" s="6" t="str">
        <f>'Section-Category'!A9</f>
        <v>Total INCOME</v>
      </c>
      <c r="B12" s="32">
        <f t="shared" ref="B12:AC12" si="1">SUM(B5:B11)</f>
        <v>0</v>
      </c>
      <c r="C12" s="32">
        <f t="shared" si="1"/>
        <v>0</v>
      </c>
      <c r="D12" s="32">
        <f t="shared" si="1"/>
        <v>0</v>
      </c>
      <c r="E12" s="32">
        <f t="shared" si="1"/>
        <v>0</v>
      </c>
      <c r="F12" s="32">
        <f t="shared" si="1"/>
        <v>0</v>
      </c>
      <c r="G12" s="32">
        <f t="shared" si="1"/>
        <v>0</v>
      </c>
      <c r="H12" s="32">
        <f t="shared" si="1"/>
        <v>0</v>
      </c>
      <c r="I12" s="32">
        <f t="shared" si="1"/>
        <v>0</v>
      </c>
      <c r="J12" s="32">
        <f t="shared" si="1"/>
        <v>0</v>
      </c>
      <c r="K12" s="32">
        <f t="shared" si="1"/>
        <v>0</v>
      </c>
      <c r="L12" s="32">
        <f t="shared" si="1"/>
        <v>0</v>
      </c>
      <c r="M12" s="32">
        <f t="shared" si="1"/>
        <v>0</v>
      </c>
      <c r="N12" s="32">
        <f t="shared" si="1"/>
        <v>0</v>
      </c>
      <c r="O12" s="32">
        <f t="shared" si="1"/>
        <v>0</v>
      </c>
      <c r="P12" s="32">
        <f t="shared" si="1"/>
        <v>0</v>
      </c>
      <c r="Q12" s="32">
        <f t="shared" si="1"/>
        <v>0</v>
      </c>
      <c r="R12" s="32">
        <f t="shared" si="1"/>
        <v>0</v>
      </c>
      <c r="S12" s="32">
        <f t="shared" si="1"/>
        <v>0</v>
      </c>
      <c r="T12" s="32">
        <f t="shared" si="1"/>
        <v>0</v>
      </c>
      <c r="U12" s="32">
        <f t="shared" si="1"/>
        <v>0</v>
      </c>
      <c r="V12" s="32">
        <f t="shared" si="1"/>
        <v>0</v>
      </c>
      <c r="W12" s="32">
        <f t="shared" si="1"/>
        <v>0</v>
      </c>
      <c r="X12" s="32">
        <f t="shared" si="1"/>
        <v>0</v>
      </c>
      <c r="Y12" s="32">
        <f t="shared" si="1"/>
        <v>0</v>
      </c>
      <c r="Z12" s="32">
        <f t="shared" si="1"/>
        <v>0</v>
      </c>
      <c r="AA12" s="32">
        <f t="shared" si="1"/>
        <v>0</v>
      </c>
      <c r="AB12" s="32">
        <f t="shared" si="1"/>
        <v>0</v>
      </c>
      <c r="AC12" s="32">
        <f t="shared" si="1"/>
        <v>0</v>
      </c>
      <c r="AD12" s="32"/>
      <c r="AE12" s="32">
        <f>SUM(AE5:AE11)</f>
        <v>0</v>
      </c>
      <c r="AF12" s="32">
        <f>SUM(AF5:AF11)</f>
        <v>0</v>
      </c>
      <c r="AG12" s="32">
        <f>SUM(AG5:AG11)</f>
        <v>0</v>
      </c>
    </row>
    <row r="13" s="22" customFormat="1" spans="1:33">
      <c r="A13" s="33"/>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row>
    <row r="14" s="22" customFormat="1" spans="1:33">
      <c r="A14" s="35" t="str">
        <f>'Section-Category'!A82</f>
        <v>Petty Cash Used</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t="s">
        <v>19</v>
      </c>
    </row>
    <row r="15" s="22" customFormat="1" spans="1:33">
      <c r="A15" s="15" t="str">
        <f>'Section-Category'!A83</f>
        <v>Pocket Money Wife</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1">
        <f t="shared" ref="AG15:AG22" si="2">SUM(B15:AF15)</f>
        <v>0</v>
      </c>
    </row>
    <row r="16" s="22" customFormat="1" spans="1:33">
      <c r="A16" s="15" t="str">
        <f>'Section-Category'!A84</f>
        <v>Car Repair / Workshop</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1">
        <f t="shared" si="2"/>
        <v>0</v>
      </c>
    </row>
    <row r="17" s="22" customFormat="1" spans="1:33">
      <c r="A17" s="15" t="str">
        <f>'Section-Category'!A85</f>
        <v>Food</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1">
        <f t="shared" si="2"/>
        <v>0</v>
      </c>
    </row>
    <row r="18" s="22" customFormat="1" spans="1:33">
      <c r="A18" s="15" t="str">
        <f>'Section-Category'!A86</f>
        <v>Donation</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1">
        <f t="shared" si="2"/>
        <v>0</v>
      </c>
    </row>
    <row r="19" s="22" customFormat="1" spans="1:33">
      <c r="A19" s="15" t="s">
        <v>47</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1">
        <f t="shared" si="2"/>
        <v>0</v>
      </c>
    </row>
    <row r="20" s="22" customFormat="1" spans="1:33">
      <c r="A20" s="15" t="str">
        <f>'Section-Category'!A88</f>
        <v>Donation</v>
      </c>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1">
        <f t="shared" si="2"/>
        <v>0</v>
      </c>
    </row>
    <row r="21" s="22" customFormat="1" spans="1:33">
      <c r="A21" s="15" t="str">
        <f>'Section-Category'!A89</f>
        <v>Pocket Money Husband</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1">
        <f t="shared" si="2"/>
        <v>0</v>
      </c>
    </row>
    <row r="22" s="22" customFormat="1" ht="17.25" customHeight="1" spans="1:33">
      <c r="A22" s="15" t="str">
        <f>'Section-Category'!A90</f>
        <v>Other</v>
      </c>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1">
        <f t="shared" si="2"/>
        <v>0</v>
      </c>
    </row>
    <row r="23" s="22" customFormat="1" ht="17.25" customHeight="1" spans="1:33">
      <c r="A23" s="38" t="str">
        <f>'Section-Category'!A91</f>
        <v>Total Petty Cash Used</v>
      </c>
      <c r="B23" s="39">
        <f t="shared" ref="B23:AC23" si="3">SUM(B15:B22)</f>
        <v>0</v>
      </c>
      <c r="C23" s="39">
        <f t="shared" si="3"/>
        <v>0</v>
      </c>
      <c r="D23" s="39">
        <f t="shared" si="3"/>
        <v>0</v>
      </c>
      <c r="E23" s="39">
        <f t="shared" si="3"/>
        <v>0</v>
      </c>
      <c r="F23" s="39">
        <f t="shared" si="3"/>
        <v>0</v>
      </c>
      <c r="G23" s="39">
        <f t="shared" si="3"/>
        <v>0</v>
      </c>
      <c r="H23" s="39">
        <f t="shared" si="3"/>
        <v>0</v>
      </c>
      <c r="I23" s="39">
        <f t="shared" si="3"/>
        <v>0</v>
      </c>
      <c r="J23" s="39">
        <f t="shared" si="3"/>
        <v>0</v>
      </c>
      <c r="K23" s="39">
        <f t="shared" si="3"/>
        <v>0</v>
      </c>
      <c r="L23" s="39">
        <f t="shared" si="3"/>
        <v>0</v>
      </c>
      <c r="M23" s="39">
        <f t="shared" si="3"/>
        <v>0</v>
      </c>
      <c r="N23" s="39">
        <f t="shared" si="3"/>
        <v>0</v>
      </c>
      <c r="O23" s="39">
        <f t="shared" si="3"/>
        <v>0</v>
      </c>
      <c r="P23" s="39">
        <f t="shared" si="3"/>
        <v>0</v>
      </c>
      <c r="Q23" s="39">
        <f t="shared" si="3"/>
        <v>0</v>
      </c>
      <c r="R23" s="39">
        <f t="shared" si="3"/>
        <v>0</v>
      </c>
      <c r="S23" s="39">
        <f t="shared" si="3"/>
        <v>0</v>
      </c>
      <c r="T23" s="39">
        <f t="shared" si="3"/>
        <v>0</v>
      </c>
      <c r="U23" s="39">
        <f t="shared" si="3"/>
        <v>0</v>
      </c>
      <c r="V23" s="39">
        <f t="shared" si="3"/>
        <v>0</v>
      </c>
      <c r="W23" s="39">
        <f t="shared" si="3"/>
        <v>0</v>
      </c>
      <c r="X23" s="39">
        <f t="shared" si="3"/>
        <v>0</v>
      </c>
      <c r="Y23" s="39">
        <f t="shared" si="3"/>
        <v>0</v>
      </c>
      <c r="Z23" s="39">
        <f t="shared" si="3"/>
        <v>0</v>
      </c>
      <c r="AA23" s="39">
        <f t="shared" si="3"/>
        <v>0</v>
      </c>
      <c r="AB23" s="39">
        <f t="shared" si="3"/>
        <v>0</v>
      </c>
      <c r="AC23" s="39">
        <f t="shared" si="3"/>
        <v>0</v>
      </c>
      <c r="AD23" s="39"/>
      <c r="AE23" s="39">
        <f>SUM(AE15:AE22)</f>
        <v>0</v>
      </c>
      <c r="AF23" s="39">
        <f>SUM(AF15:AF22)</f>
        <v>0</v>
      </c>
      <c r="AG23" s="39">
        <f>SUM(AG15:AG22)</f>
        <v>0</v>
      </c>
    </row>
    <row r="24" s="22" customFormat="1" spans="1:33">
      <c r="A24" s="27"/>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spans="1:33">
      <c r="A25" s="8" t="str">
        <f>'Section-Category'!A11</f>
        <v>SAVINGS EXPENSE</v>
      </c>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t="s">
        <v>34</v>
      </c>
    </row>
    <row r="26" spans="1:33">
      <c r="A26" s="9" t="str">
        <f>'Section-Category'!A12</f>
        <v>Emergency Fund</v>
      </c>
      <c r="B26" s="37"/>
      <c r="C26" s="37"/>
      <c r="D26" s="37"/>
      <c r="E26" s="37"/>
      <c r="F26" s="37"/>
      <c r="G26" s="37"/>
      <c r="H26" s="37"/>
      <c r="I26" s="37"/>
      <c r="J26" s="37"/>
      <c r="K26" s="37"/>
      <c r="L26" s="37"/>
      <c r="AG26" s="31">
        <f>SUM(B26:AF26)</f>
        <v>0</v>
      </c>
    </row>
    <row r="27" spans="1:33">
      <c r="A27" s="9" t="str">
        <f>'Section-Category'!A13</f>
        <v>Investments</v>
      </c>
      <c r="B27" s="37"/>
      <c r="C27" s="37"/>
      <c r="D27" s="37"/>
      <c r="E27" s="37"/>
      <c r="F27" s="37"/>
      <c r="G27" s="37"/>
      <c r="H27" s="37"/>
      <c r="I27" s="37"/>
      <c r="J27" s="37"/>
      <c r="K27" s="37"/>
      <c r="L27" s="37"/>
      <c r="AG27" s="31">
        <f>SUM(B27:AF27)</f>
        <v>0</v>
      </c>
    </row>
    <row r="28" spans="1:33">
      <c r="A28" s="9" t="str">
        <f>'Section-Category'!A14</f>
        <v>Pocket Money Wife</v>
      </c>
      <c r="C28" s="37"/>
      <c r="D28" s="37"/>
      <c r="F28" s="37"/>
      <c r="G28" s="37"/>
      <c r="H28" s="37"/>
      <c r="I28" s="37"/>
      <c r="J28" s="37"/>
      <c r="K28" s="37"/>
      <c r="L28" s="37"/>
      <c r="AG28" s="31">
        <f>SUM(B28:AF28)</f>
        <v>0</v>
      </c>
    </row>
    <row r="29" spans="1:33">
      <c r="A29" s="9" t="str">
        <f>'Section-Category'!A15</f>
        <v>&lt;Name-Of-Entry&gt;</v>
      </c>
      <c r="C29" s="37"/>
      <c r="D29" s="37"/>
      <c r="F29" s="37"/>
      <c r="G29" s="37"/>
      <c r="H29" s="37"/>
      <c r="I29" s="37"/>
      <c r="J29" s="37"/>
      <c r="K29" s="37"/>
      <c r="L29" s="37"/>
      <c r="AG29" s="31">
        <f>SUM(B29:AF29)</f>
        <v>0</v>
      </c>
    </row>
    <row r="30" ht="17.25" customHeight="1" spans="1:33">
      <c r="A30" s="9" t="str">
        <f>'Section-Category'!A16</f>
        <v>&lt;Name-Of-Entry&gt;</v>
      </c>
      <c r="B30" s="37"/>
      <c r="C30" s="37"/>
      <c r="D30" s="37"/>
      <c r="F30" s="37"/>
      <c r="G30" s="37"/>
      <c r="H30" s="37"/>
      <c r="I30" s="37"/>
      <c r="J30" s="37"/>
      <c r="K30" s="37"/>
      <c r="L30" s="37"/>
      <c r="AG30" s="31">
        <f>SUM(B30:AF30)</f>
        <v>0</v>
      </c>
    </row>
    <row r="31" ht="17.25" customHeight="1" spans="1:33">
      <c r="A31" s="38" t="str">
        <f>'Section-Category'!A17</f>
        <v>Total SAVINGS EXPENSE</v>
      </c>
      <c r="B31" s="39">
        <f t="shared" ref="B31:AC31" si="4">SUM(B26:B30)</f>
        <v>0</v>
      </c>
      <c r="C31" s="39">
        <f t="shared" si="4"/>
        <v>0</v>
      </c>
      <c r="D31" s="39">
        <f t="shared" si="4"/>
        <v>0</v>
      </c>
      <c r="E31" s="39">
        <f t="shared" si="4"/>
        <v>0</v>
      </c>
      <c r="F31" s="39">
        <f t="shared" si="4"/>
        <v>0</v>
      </c>
      <c r="G31" s="39">
        <f t="shared" si="4"/>
        <v>0</v>
      </c>
      <c r="H31" s="39">
        <f t="shared" si="4"/>
        <v>0</v>
      </c>
      <c r="I31" s="39">
        <f t="shared" si="4"/>
        <v>0</v>
      </c>
      <c r="J31" s="39">
        <f t="shared" si="4"/>
        <v>0</v>
      </c>
      <c r="K31" s="39">
        <f t="shared" si="4"/>
        <v>0</v>
      </c>
      <c r="L31" s="39">
        <f t="shared" si="4"/>
        <v>0</v>
      </c>
      <c r="M31" s="39">
        <f t="shared" si="4"/>
        <v>0</v>
      </c>
      <c r="N31" s="39">
        <f t="shared" si="4"/>
        <v>0</v>
      </c>
      <c r="O31" s="39">
        <f t="shared" si="4"/>
        <v>0</v>
      </c>
      <c r="P31" s="39">
        <f t="shared" si="4"/>
        <v>0</v>
      </c>
      <c r="Q31" s="39">
        <f t="shared" si="4"/>
        <v>0</v>
      </c>
      <c r="R31" s="39">
        <f t="shared" si="4"/>
        <v>0</v>
      </c>
      <c r="S31" s="39">
        <f t="shared" si="4"/>
        <v>0</v>
      </c>
      <c r="T31" s="39">
        <f t="shared" si="4"/>
        <v>0</v>
      </c>
      <c r="U31" s="39">
        <f t="shared" si="4"/>
        <v>0</v>
      </c>
      <c r="V31" s="39">
        <f t="shared" si="4"/>
        <v>0</v>
      </c>
      <c r="W31" s="39">
        <f t="shared" si="4"/>
        <v>0</v>
      </c>
      <c r="X31" s="39">
        <f t="shared" si="4"/>
        <v>0</v>
      </c>
      <c r="Y31" s="39">
        <f t="shared" si="4"/>
        <v>0</v>
      </c>
      <c r="Z31" s="39">
        <f t="shared" si="4"/>
        <v>0</v>
      </c>
      <c r="AA31" s="39">
        <f t="shared" si="4"/>
        <v>0</v>
      </c>
      <c r="AB31" s="39">
        <f t="shared" si="4"/>
        <v>0</v>
      </c>
      <c r="AC31" s="39">
        <f t="shared" si="4"/>
        <v>0</v>
      </c>
      <c r="AD31" s="39"/>
      <c r="AE31" s="39">
        <f>SUM(AE26:AE30)</f>
        <v>0</v>
      </c>
      <c r="AF31" s="39">
        <f>SUM(AF26:AF30)</f>
        <v>0</v>
      </c>
      <c r="AG31" s="39">
        <f>SUM(AG26:AG30)</f>
        <v>0</v>
      </c>
    </row>
    <row r="32" spans="1:33">
      <c r="A32" s="27"/>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spans="1:33">
      <c r="A33" s="8" t="str">
        <f>'Section-Category'!A20</f>
        <v>HOME EXPENSES</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t="s">
        <v>34</v>
      </c>
    </row>
    <row r="34" spans="1:33">
      <c r="A34" s="9" t="str">
        <f>'Section-Category'!A21</f>
        <v>Mortgage/Rent</v>
      </c>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1">
        <f t="shared" ref="AG34:AG46" si="5">SUM(B34:AF34)</f>
        <v>0</v>
      </c>
    </row>
    <row r="35" spans="1:33">
      <c r="A35" s="9" t="str">
        <f>'Section-Category'!A22</f>
        <v>Electricity</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1">
        <f t="shared" si="5"/>
        <v>0</v>
      </c>
    </row>
    <row r="36" spans="1:33">
      <c r="A36" s="9" t="str">
        <f>'Section-Category'!A23</f>
        <v>Gas/Oil</v>
      </c>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1">
        <f t="shared" si="5"/>
        <v>0</v>
      </c>
    </row>
    <row r="37" spans="1:33">
      <c r="A37" s="9" t="str">
        <f>'Section-Category'!A24</f>
        <v>Water/Sewer/Trash</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1">
        <f t="shared" si="5"/>
        <v>0</v>
      </c>
    </row>
    <row r="38" spans="1:33">
      <c r="A38" s="9" t="str">
        <f>'Section-Category'!A25</f>
        <v>Phone</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1">
        <f t="shared" si="5"/>
        <v>0</v>
      </c>
    </row>
    <row r="39" spans="1:33">
      <c r="A39" s="9" t="str">
        <f>'Section-Category'!A26</f>
        <v>Cable/Satellite</v>
      </c>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1">
        <f t="shared" si="5"/>
        <v>0</v>
      </c>
    </row>
    <row r="40" spans="1:33">
      <c r="A40" s="9" t="str">
        <f>'Section-Category'!A27</f>
        <v>Internet</v>
      </c>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1">
        <f t="shared" si="5"/>
        <v>0</v>
      </c>
    </row>
    <row r="41" spans="1:33">
      <c r="A41" s="9" t="str">
        <f>'Section-Category'!A28</f>
        <v>Furnishings/Appliances</v>
      </c>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1">
        <f t="shared" si="5"/>
        <v>0</v>
      </c>
    </row>
    <row r="42" spans="1:33">
      <c r="A42" s="9" t="str">
        <f>'Section-Category'!A29</f>
        <v>Lawn/Garden</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1">
        <f t="shared" si="5"/>
        <v>0</v>
      </c>
    </row>
    <row r="43" spans="1:33">
      <c r="A43" s="9" t="str">
        <f>'Section-Category'!A30</f>
        <v>Home Supplies</v>
      </c>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1">
        <f t="shared" si="5"/>
        <v>0</v>
      </c>
    </row>
    <row r="44" spans="1:33">
      <c r="A44" s="9" t="str">
        <f>'Section-Category'!A31</f>
        <v>Maintenance</v>
      </c>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1">
        <f t="shared" si="5"/>
        <v>0</v>
      </c>
    </row>
    <row r="45" spans="1:33">
      <c r="A45" s="9" t="str">
        <f>'Section-Category'!A32</f>
        <v>Improvements</v>
      </c>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1">
        <f t="shared" si="5"/>
        <v>0</v>
      </c>
    </row>
    <row r="46" ht="17.25" customHeight="1" spans="1:33">
      <c r="A46" s="9" t="str">
        <f>'Section-Category'!A33</f>
        <v>Other</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1">
        <f t="shared" si="5"/>
        <v>0</v>
      </c>
    </row>
    <row r="47" ht="17.25" customHeight="1" spans="1:33">
      <c r="A47" s="38" t="str">
        <f>'Section-Category'!A34</f>
        <v>Total HOME EXPENSES</v>
      </c>
      <c r="B47" s="39">
        <f t="shared" ref="B47:AC47" si="6">SUM(B34:B46)</f>
        <v>0</v>
      </c>
      <c r="C47" s="39">
        <f t="shared" si="6"/>
        <v>0</v>
      </c>
      <c r="D47" s="39">
        <f t="shared" si="6"/>
        <v>0</v>
      </c>
      <c r="E47" s="39">
        <f t="shared" si="6"/>
        <v>0</v>
      </c>
      <c r="F47" s="39">
        <f t="shared" si="6"/>
        <v>0</v>
      </c>
      <c r="G47" s="39">
        <f t="shared" si="6"/>
        <v>0</v>
      </c>
      <c r="H47" s="39">
        <f t="shared" si="6"/>
        <v>0</v>
      </c>
      <c r="I47" s="39">
        <f t="shared" si="6"/>
        <v>0</v>
      </c>
      <c r="J47" s="39">
        <f t="shared" si="6"/>
        <v>0</v>
      </c>
      <c r="K47" s="39">
        <f t="shared" si="6"/>
        <v>0</v>
      </c>
      <c r="L47" s="39">
        <f t="shared" si="6"/>
        <v>0</v>
      </c>
      <c r="M47" s="39">
        <f t="shared" si="6"/>
        <v>0</v>
      </c>
      <c r="N47" s="39">
        <f t="shared" si="6"/>
        <v>0</v>
      </c>
      <c r="O47" s="39">
        <f t="shared" si="6"/>
        <v>0</v>
      </c>
      <c r="P47" s="39">
        <f t="shared" si="6"/>
        <v>0</v>
      </c>
      <c r="Q47" s="39">
        <f t="shared" si="6"/>
        <v>0</v>
      </c>
      <c r="R47" s="39">
        <f t="shared" si="6"/>
        <v>0</v>
      </c>
      <c r="S47" s="39">
        <f t="shared" si="6"/>
        <v>0</v>
      </c>
      <c r="T47" s="39">
        <f t="shared" si="6"/>
        <v>0</v>
      </c>
      <c r="U47" s="39">
        <f t="shared" si="6"/>
        <v>0</v>
      </c>
      <c r="V47" s="39">
        <f t="shared" si="6"/>
        <v>0</v>
      </c>
      <c r="W47" s="39">
        <f t="shared" si="6"/>
        <v>0</v>
      </c>
      <c r="X47" s="39">
        <f t="shared" si="6"/>
        <v>0</v>
      </c>
      <c r="Y47" s="39">
        <f t="shared" si="6"/>
        <v>0</v>
      </c>
      <c r="Z47" s="39">
        <f t="shared" si="6"/>
        <v>0</v>
      </c>
      <c r="AA47" s="39">
        <f t="shared" si="6"/>
        <v>0</v>
      </c>
      <c r="AB47" s="39">
        <f t="shared" si="6"/>
        <v>0</v>
      </c>
      <c r="AC47" s="39">
        <f t="shared" si="6"/>
        <v>0</v>
      </c>
      <c r="AD47" s="39"/>
      <c r="AE47" s="39">
        <f>SUM(AE34:AE46)</f>
        <v>0</v>
      </c>
      <c r="AF47" s="39">
        <f>SUM(AF34:AF46)</f>
        <v>0</v>
      </c>
      <c r="AG47" s="39">
        <f>SUM(AG34:AG46)</f>
        <v>0</v>
      </c>
    </row>
    <row r="48" spans="1:33">
      <c r="A48" s="27"/>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spans="1:33">
      <c r="A49" s="8" t="str">
        <f>'Section-Category'!A37</f>
        <v>DAILY LIVING</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t="s">
        <v>34</v>
      </c>
    </row>
    <row r="50" spans="1:33">
      <c r="A50" s="9" t="str">
        <f>'Section-Category'!A38</f>
        <v>Groceries</v>
      </c>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1">
        <f t="shared" ref="AG50:AG59" si="7">SUM(B50:AF50)</f>
        <v>0</v>
      </c>
    </row>
    <row r="51" spans="1:33">
      <c r="A51" s="9" t="str">
        <f>'Section-Category'!A39</f>
        <v>Personal Supplies</v>
      </c>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1">
        <f t="shared" si="7"/>
        <v>0</v>
      </c>
    </row>
    <row r="52" spans="1:33">
      <c r="A52" s="9" t="str">
        <f>'Section-Category'!A40</f>
        <v>Clothing</v>
      </c>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1">
        <f t="shared" si="7"/>
        <v>0</v>
      </c>
    </row>
    <row r="53" spans="1:33">
      <c r="A53" s="9" t="str">
        <f>'Section-Category'!A41</f>
        <v>Cleaning Services</v>
      </c>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1">
        <f t="shared" si="7"/>
        <v>0</v>
      </c>
    </row>
    <row r="54" spans="1:33">
      <c r="A54" s="9" t="str">
        <f>'Section-Category'!A42</f>
        <v>Dining/Eating Out</v>
      </c>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1">
        <f t="shared" si="7"/>
        <v>0</v>
      </c>
    </row>
    <row r="55" spans="1:33">
      <c r="A55" s="9" t="str">
        <f>'Section-Category'!A43</f>
        <v>Dry Cleaning</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1">
        <f t="shared" si="7"/>
        <v>0</v>
      </c>
    </row>
    <row r="56" spans="1:33">
      <c r="A56" s="9" t="str">
        <f>'Section-Category'!A44</f>
        <v>Salon/Barber</v>
      </c>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1">
        <f t="shared" si="7"/>
        <v>0</v>
      </c>
    </row>
    <row r="57" spans="1:33">
      <c r="A57" s="9" t="str">
        <f>'Section-Category'!A45</f>
        <v>FoodPanda</v>
      </c>
      <c r="B57" s="37"/>
      <c r="D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1">
        <f t="shared" si="7"/>
        <v>0</v>
      </c>
    </row>
    <row r="58" spans="1:33">
      <c r="A58" s="9" t="str">
        <f>'Section-Category'!A46</f>
        <v>JazzCash/EasyPaisa</v>
      </c>
      <c r="B58" s="37"/>
      <c r="D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1">
        <f t="shared" si="7"/>
        <v>0</v>
      </c>
    </row>
    <row r="59" ht="17.25" customHeight="1" spans="1:33">
      <c r="A59" s="9" t="str">
        <f>'Section-Category'!A47</f>
        <v>Other</v>
      </c>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1">
        <f t="shared" si="7"/>
        <v>0</v>
      </c>
    </row>
    <row r="60" ht="17.25" customHeight="1" spans="1:33">
      <c r="A60" s="38" t="str">
        <f>'Section-Category'!A48</f>
        <v>Total DAILY LIVING</v>
      </c>
      <c r="B60" s="39">
        <f t="shared" ref="B60:AC60" si="8">SUM(B50:B59)</f>
        <v>0</v>
      </c>
      <c r="C60" s="39">
        <f t="shared" si="8"/>
        <v>0</v>
      </c>
      <c r="D60" s="39">
        <f t="shared" si="8"/>
        <v>0</v>
      </c>
      <c r="E60" s="39">
        <f t="shared" si="8"/>
        <v>0</v>
      </c>
      <c r="F60" s="39">
        <f t="shared" si="8"/>
        <v>0</v>
      </c>
      <c r="G60" s="39">
        <f t="shared" si="8"/>
        <v>0</v>
      </c>
      <c r="H60" s="39">
        <f t="shared" si="8"/>
        <v>0</v>
      </c>
      <c r="I60" s="39">
        <f t="shared" si="8"/>
        <v>0</v>
      </c>
      <c r="J60" s="39">
        <f t="shared" si="8"/>
        <v>0</v>
      </c>
      <c r="K60" s="39">
        <f t="shared" si="8"/>
        <v>0</v>
      </c>
      <c r="L60" s="39">
        <f t="shared" si="8"/>
        <v>0</v>
      </c>
      <c r="M60" s="39">
        <f t="shared" si="8"/>
        <v>0</v>
      </c>
      <c r="N60" s="39">
        <f t="shared" si="8"/>
        <v>0</v>
      </c>
      <c r="O60" s="39">
        <f t="shared" si="8"/>
        <v>0</v>
      </c>
      <c r="P60" s="39">
        <f t="shared" si="8"/>
        <v>0</v>
      </c>
      <c r="Q60" s="39">
        <f t="shared" si="8"/>
        <v>0</v>
      </c>
      <c r="R60" s="39">
        <f t="shared" si="8"/>
        <v>0</v>
      </c>
      <c r="S60" s="39">
        <f t="shared" si="8"/>
        <v>0</v>
      </c>
      <c r="T60" s="39">
        <f t="shared" si="8"/>
        <v>0</v>
      </c>
      <c r="U60" s="39">
        <f t="shared" si="8"/>
        <v>0</v>
      </c>
      <c r="V60" s="39">
        <f t="shared" si="8"/>
        <v>0</v>
      </c>
      <c r="W60" s="39">
        <f t="shared" si="8"/>
        <v>0</v>
      </c>
      <c r="X60" s="39">
        <f t="shared" si="8"/>
        <v>0</v>
      </c>
      <c r="Y60" s="39">
        <f t="shared" si="8"/>
        <v>0</v>
      </c>
      <c r="Z60" s="39">
        <f t="shared" si="8"/>
        <v>0</v>
      </c>
      <c r="AA60" s="39">
        <f t="shared" si="8"/>
        <v>0</v>
      </c>
      <c r="AB60" s="39">
        <f t="shared" si="8"/>
        <v>0</v>
      </c>
      <c r="AC60" s="39">
        <f t="shared" si="8"/>
        <v>0</v>
      </c>
      <c r="AD60" s="39"/>
      <c r="AE60" s="39">
        <f>SUM(AE50:AE59)</f>
        <v>0</v>
      </c>
      <c r="AF60" s="39">
        <f>SUM(AF50:AF59)</f>
        <v>0</v>
      </c>
      <c r="AG60" s="39">
        <f>SUM(AG50:AG59)</f>
        <v>0</v>
      </c>
    </row>
    <row r="61" spans="1:33">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8" t="str">
        <f>'Section-Category'!A51</f>
        <v>CHILDREN</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t="s">
        <v>34</v>
      </c>
    </row>
    <row r="63" spans="1:33">
      <c r="A63" s="9" t="str">
        <f>'Section-Category'!A52</f>
        <v>Medical</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1">
        <f t="shared" ref="AG63:AG70" si="9">SUM(B63:AF63)</f>
        <v>0</v>
      </c>
    </row>
    <row r="64" spans="1:33">
      <c r="A64" s="9" t="str">
        <f>'Section-Category'!A53</f>
        <v>Clothing</v>
      </c>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1">
        <f t="shared" si="9"/>
        <v>0</v>
      </c>
    </row>
    <row r="65" spans="1:33">
      <c r="A65" s="9" t="str">
        <f>'Section-Category'!A54</f>
        <v>School Tuition</v>
      </c>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1">
        <f t="shared" si="9"/>
        <v>0</v>
      </c>
    </row>
    <row r="66" spans="1:33">
      <c r="A66" s="9" t="str">
        <f>'Section-Category'!A55</f>
        <v>School Lunch</v>
      </c>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1">
        <f t="shared" si="9"/>
        <v>0</v>
      </c>
    </row>
    <row r="67" spans="1:33">
      <c r="A67" s="9" t="str">
        <f>'Section-Category'!A56</f>
        <v>School Supplies</v>
      </c>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1">
        <f t="shared" si="9"/>
        <v>0</v>
      </c>
    </row>
    <row r="68" spans="1:33">
      <c r="A68" s="9" t="str">
        <f>'Section-Category'!A57</f>
        <v>Babysitting</v>
      </c>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1">
        <f t="shared" si="9"/>
        <v>0</v>
      </c>
    </row>
    <row r="69" spans="1:33">
      <c r="A69" s="9" t="str">
        <f>'Section-Category'!A58</f>
        <v>Toys/Games</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1">
        <f t="shared" si="9"/>
        <v>0</v>
      </c>
    </row>
    <row r="70" ht="17.25" customHeight="1" spans="1:33">
      <c r="A70" s="9" t="str">
        <f>'Section-Category'!A59</f>
        <v>Other</v>
      </c>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1">
        <f t="shared" si="9"/>
        <v>0</v>
      </c>
    </row>
    <row r="71" ht="17.25" customHeight="1" spans="1:33">
      <c r="A71" s="38" t="str">
        <f>'Section-Category'!A60</f>
        <v>Total CHILDREN</v>
      </c>
      <c r="B71" s="39">
        <f t="shared" ref="B71:AC71" si="10">SUM(B63:B70)</f>
        <v>0</v>
      </c>
      <c r="C71" s="39">
        <f t="shared" si="10"/>
        <v>0</v>
      </c>
      <c r="D71" s="39">
        <f t="shared" si="10"/>
        <v>0</v>
      </c>
      <c r="E71" s="39">
        <f t="shared" si="10"/>
        <v>0</v>
      </c>
      <c r="F71" s="39">
        <f t="shared" si="10"/>
        <v>0</v>
      </c>
      <c r="G71" s="39">
        <f t="shared" si="10"/>
        <v>0</v>
      </c>
      <c r="H71" s="39">
        <f t="shared" si="10"/>
        <v>0</v>
      </c>
      <c r="I71" s="39">
        <f t="shared" si="10"/>
        <v>0</v>
      </c>
      <c r="J71" s="39">
        <f t="shared" si="10"/>
        <v>0</v>
      </c>
      <c r="K71" s="39">
        <f t="shared" si="10"/>
        <v>0</v>
      </c>
      <c r="L71" s="39">
        <f t="shared" si="10"/>
        <v>0</v>
      </c>
      <c r="M71" s="39">
        <f t="shared" si="10"/>
        <v>0</v>
      </c>
      <c r="N71" s="39">
        <f t="shared" si="10"/>
        <v>0</v>
      </c>
      <c r="O71" s="39">
        <f t="shared" si="10"/>
        <v>0</v>
      </c>
      <c r="P71" s="39">
        <f t="shared" si="10"/>
        <v>0</v>
      </c>
      <c r="Q71" s="39">
        <f t="shared" si="10"/>
        <v>0</v>
      </c>
      <c r="R71" s="39">
        <f t="shared" si="10"/>
        <v>0</v>
      </c>
      <c r="S71" s="39">
        <f t="shared" si="10"/>
        <v>0</v>
      </c>
      <c r="T71" s="39">
        <f t="shared" si="10"/>
        <v>0</v>
      </c>
      <c r="U71" s="39">
        <f t="shared" si="10"/>
        <v>0</v>
      </c>
      <c r="V71" s="39">
        <f t="shared" si="10"/>
        <v>0</v>
      </c>
      <c r="W71" s="39">
        <f t="shared" si="10"/>
        <v>0</v>
      </c>
      <c r="X71" s="39">
        <f t="shared" si="10"/>
        <v>0</v>
      </c>
      <c r="Y71" s="39">
        <f t="shared" si="10"/>
        <v>0</v>
      </c>
      <c r="Z71" s="39">
        <f t="shared" si="10"/>
        <v>0</v>
      </c>
      <c r="AA71" s="39">
        <f t="shared" si="10"/>
        <v>0</v>
      </c>
      <c r="AB71" s="39">
        <f t="shared" si="10"/>
        <v>0</v>
      </c>
      <c r="AC71" s="39">
        <f t="shared" si="10"/>
        <v>0</v>
      </c>
      <c r="AD71" s="39"/>
      <c r="AE71" s="39">
        <f>SUM(AE63:AE70)</f>
        <v>0</v>
      </c>
      <c r="AF71" s="39">
        <f>SUM(AF63:AF70)</f>
        <v>0</v>
      </c>
      <c r="AG71" s="39">
        <f>SUM(AG63:AG70)</f>
        <v>0</v>
      </c>
    </row>
    <row r="72" spans="1:33">
      <c r="A72" s="27"/>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8" t="str">
        <f>'Section-Category'!A63</f>
        <v>TRANSPORTATION</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t="s">
        <v>34</v>
      </c>
    </row>
    <row r="74" spans="1:33">
      <c r="A74" s="9" t="str">
        <f>'Section-Category'!A64</f>
        <v>Vehicle Payments</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1">
        <f t="shared" ref="AG74:AG79" si="11">SUM(B74:AF74)</f>
        <v>0</v>
      </c>
    </row>
    <row r="75" spans="1:33">
      <c r="A75" s="9" t="str">
        <f>'Section-Category'!A65</f>
        <v>Fuel</v>
      </c>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1">
        <f t="shared" si="11"/>
        <v>0</v>
      </c>
    </row>
    <row r="76" spans="1:33">
      <c r="A76" s="9" t="str">
        <f>'Section-Category'!A66</f>
        <v>Bus/Taxi/Train Fare</v>
      </c>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1">
        <f t="shared" si="11"/>
        <v>0</v>
      </c>
    </row>
    <row r="77" spans="1:33">
      <c r="A77" s="9" t="str">
        <f>'Section-Category'!A67</f>
        <v>Repairs</v>
      </c>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1">
        <f t="shared" si="11"/>
        <v>0</v>
      </c>
    </row>
    <row r="78" spans="1:33">
      <c r="A78" s="9" t="str">
        <f>'Section-Category'!A68</f>
        <v>Registration/License</v>
      </c>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1">
        <f t="shared" si="11"/>
        <v>0</v>
      </c>
    </row>
    <row r="79" ht="17.25" customHeight="1" spans="1:33">
      <c r="A79" s="9" t="str">
        <f>'Section-Category'!A69</f>
        <v>Other</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1">
        <f t="shared" si="11"/>
        <v>0</v>
      </c>
    </row>
    <row r="80" ht="17.25" customHeight="1" spans="1:33">
      <c r="A80" s="38" t="str">
        <f>'Section-Category'!A70</f>
        <v>Total TRANSPORTATION</v>
      </c>
      <c r="B80" s="39">
        <f t="shared" ref="B80:AC80" si="12">SUM(B74:B79)</f>
        <v>0</v>
      </c>
      <c r="C80" s="39">
        <f t="shared" si="12"/>
        <v>0</v>
      </c>
      <c r="D80" s="39">
        <f t="shared" si="12"/>
        <v>0</v>
      </c>
      <c r="E80" s="39">
        <f t="shared" si="12"/>
        <v>0</v>
      </c>
      <c r="F80" s="39">
        <f t="shared" si="12"/>
        <v>0</v>
      </c>
      <c r="G80" s="39">
        <f t="shared" si="12"/>
        <v>0</v>
      </c>
      <c r="H80" s="39">
        <f t="shared" si="12"/>
        <v>0</v>
      </c>
      <c r="I80" s="39">
        <f t="shared" si="12"/>
        <v>0</v>
      </c>
      <c r="J80" s="39">
        <f t="shared" si="12"/>
        <v>0</v>
      </c>
      <c r="K80" s="39">
        <f t="shared" si="12"/>
        <v>0</v>
      </c>
      <c r="L80" s="39">
        <f t="shared" si="12"/>
        <v>0</v>
      </c>
      <c r="M80" s="39">
        <f t="shared" si="12"/>
        <v>0</v>
      </c>
      <c r="N80" s="39">
        <f t="shared" si="12"/>
        <v>0</v>
      </c>
      <c r="O80" s="39">
        <f t="shared" si="12"/>
        <v>0</v>
      </c>
      <c r="P80" s="39">
        <f t="shared" si="12"/>
        <v>0</v>
      </c>
      <c r="Q80" s="39">
        <f t="shared" si="12"/>
        <v>0</v>
      </c>
      <c r="R80" s="39">
        <f t="shared" si="12"/>
        <v>0</v>
      </c>
      <c r="S80" s="39">
        <f t="shared" si="12"/>
        <v>0</v>
      </c>
      <c r="T80" s="39">
        <f t="shared" si="12"/>
        <v>0</v>
      </c>
      <c r="U80" s="39">
        <f t="shared" si="12"/>
        <v>0</v>
      </c>
      <c r="V80" s="39">
        <f t="shared" si="12"/>
        <v>0</v>
      </c>
      <c r="W80" s="39">
        <f t="shared" si="12"/>
        <v>0</v>
      </c>
      <c r="X80" s="39">
        <f t="shared" si="12"/>
        <v>0</v>
      </c>
      <c r="Y80" s="39">
        <f t="shared" si="12"/>
        <v>0</v>
      </c>
      <c r="Z80" s="39">
        <f t="shared" si="12"/>
        <v>0</v>
      </c>
      <c r="AA80" s="39">
        <f t="shared" si="12"/>
        <v>0</v>
      </c>
      <c r="AB80" s="39">
        <f t="shared" si="12"/>
        <v>0</v>
      </c>
      <c r="AC80" s="39">
        <f t="shared" si="12"/>
        <v>0</v>
      </c>
      <c r="AD80" s="39"/>
      <c r="AE80" s="39">
        <f>SUM(AE74:AE79)</f>
        <v>0</v>
      </c>
      <c r="AF80" s="39">
        <f>SUM(AF74:AF79)</f>
        <v>0</v>
      </c>
      <c r="AG80" s="39">
        <f>SUM(AG74:AG79)</f>
        <v>0</v>
      </c>
    </row>
    <row r="81" spans="1:33">
      <c r="A81" s="27"/>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spans="1:33">
      <c r="A82" s="8" t="str">
        <f>'Section-Category'!A73</f>
        <v>HEALTH</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t="s">
        <v>34</v>
      </c>
    </row>
    <row r="83" spans="1:33">
      <c r="A83" s="9" t="str">
        <f>'Section-Category'!A74</f>
        <v>Doctor/Dentist</v>
      </c>
      <c r="B83" s="37"/>
      <c r="C83" s="41"/>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1">
        <f>SUM(B83:AF83)</f>
        <v>0</v>
      </c>
    </row>
    <row r="84" spans="1:33">
      <c r="A84" s="9" t="str">
        <f>'Section-Category'!A75</f>
        <v>Medicine/Drugs</v>
      </c>
      <c r="B84" s="37"/>
      <c r="D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1">
        <f>SUM(B84:AF84)</f>
        <v>0</v>
      </c>
    </row>
    <row r="85" spans="1:33">
      <c r="A85" s="9" t="str">
        <f>'Section-Category'!A76</f>
        <v>Lab Test</v>
      </c>
      <c r="B85" s="37"/>
      <c r="C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1">
        <f>SUM(B85:AF85)</f>
        <v>0</v>
      </c>
    </row>
    <row r="86" spans="1:33">
      <c r="A86" s="9" t="str">
        <f>'Section-Category'!A77</f>
        <v>Consultation</v>
      </c>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1">
        <f>SUM(B86:AF86)</f>
        <v>0</v>
      </c>
    </row>
    <row r="87" ht="17.25" customHeight="1" spans="1:33">
      <c r="A87" s="9" t="str">
        <f>'Section-Category'!A78</f>
        <v>Other</v>
      </c>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1">
        <f>SUM(B87:AF87)</f>
        <v>0</v>
      </c>
    </row>
    <row r="88" ht="17.25" customHeight="1" spans="1:33">
      <c r="A88" s="38" t="str">
        <f>'Section-Category'!A79</f>
        <v>Total HEALTH</v>
      </c>
      <c r="B88" s="39">
        <f t="shared" ref="B88:AC88" si="13">SUM(B83:B87)</f>
        <v>0</v>
      </c>
      <c r="C88" s="39">
        <f t="shared" si="13"/>
        <v>0</v>
      </c>
      <c r="D88" s="39">
        <f t="shared" si="13"/>
        <v>0</v>
      </c>
      <c r="E88" s="39">
        <f t="shared" si="13"/>
        <v>0</v>
      </c>
      <c r="F88" s="39">
        <f t="shared" si="13"/>
        <v>0</v>
      </c>
      <c r="G88" s="39">
        <f t="shared" si="13"/>
        <v>0</v>
      </c>
      <c r="H88" s="39">
        <f t="shared" si="13"/>
        <v>0</v>
      </c>
      <c r="I88" s="39">
        <f t="shared" si="13"/>
        <v>0</v>
      </c>
      <c r="J88" s="39">
        <f t="shared" si="13"/>
        <v>0</v>
      </c>
      <c r="K88" s="39">
        <f t="shared" si="13"/>
        <v>0</v>
      </c>
      <c r="L88" s="39">
        <f t="shared" si="13"/>
        <v>0</v>
      </c>
      <c r="M88" s="39">
        <f t="shared" si="13"/>
        <v>0</v>
      </c>
      <c r="N88" s="39">
        <f t="shared" si="13"/>
        <v>0</v>
      </c>
      <c r="O88" s="39">
        <f t="shared" si="13"/>
        <v>0</v>
      </c>
      <c r="P88" s="39">
        <f t="shared" si="13"/>
        <v>0</v>
      </c>
      <c r="Q88" s="39">
        <f t="shared" si="13"/>
        <v>0</v>
      </c>
      <c r="R88" s="39">
        <f t="shared" si="13"/>
        <v>0</v>
      </c>
      <c r="S88" s="39">
        <f t="shared" si="13"/>
        <v>0</v>
      </c>
      <c r="T88" s="39">
        <f t="shared" si="13"/>
        <v>0</v>
      </c>
      <c r="U88" s="39">
        <f t="shared" si="13"/>
        <v>0</v>
      </c>
      <c r="V88" s="39">
        <f t="shared" si="13"/>
        <v>0</v>
      </c>
      <c r="W88" s="39">
        <f t="shared" si="13"/>
        <v>0</v>
      </c>
      <c r="X88" s="39">
        <f t="shared" si="13"/>
        <v>0</v>
      </c>
      <c r="Y88" s="39">
        <f t="shared" si="13"/>
        <v>0</v>
      </c>
      <c r="Z88" s="39">
        <f t="shared" si="13"/>
        <v>0</v>
      </c>
      <c r="AA88" s="39">
        <f t="shared" si="13"/>
        <v>0</v>
      </c>
      <c r="AB88" s="39">
        <f t="shared" si="13"/>
        <v>0</v>
      </c>
      <c r="AC88" s="39">
        <f t="shared" si="13"/>
        <v>0</v>
      </c>
      <c r="AD88" s="39"/>
      <c r="AE88" s="39">
        <f>SUM(AE83:AE87)</f>
        <v>0</v>
      </c>
      <c r="AF88" s="39">
        <f>SUM(AF83:AF87)</f>
        <v>0</v>
      </c>
      <c r="AG88" s="39">
        <f>SUM(AG83:AG87)</f>
        <v>0</v>
      </c>
    </row>
    <row r="90" spans="1:33">
      <c r="A90" s="8" t="str">
        <f>'Section-Category'!A94</f>
        <v>EDUCATION</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t="s">
        <v>34</v>
      </c>
    </row>
    <row r="91" spans="1:33">
      <c r="A91" s="9" t="str">
        <f>'Section-Category'!A95</f>
        <v>Tuition</v>
      </c>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1">
        <f>SUM(B91:AF91)</f>
        <v>0</v>
      </c>
    </row>
    <row r="92" spans="1:33">
      <c r="A92" s="9" t="str">
        <f>'Section-Category'!A96</f>
        <v>Books</v>
      </c>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1">
        <f>SUM(B92:AF92)</f>
        <v>0</v>
      </c>
    </row>
    <row r="93" spans="1:33">
      <c r="A93" s="9" t="str">
        <f>'Section-Category'!A97</f>
        <v>Music Lessons</v>
      </c>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1">
        <f>SUM(B93:AF93)</f>
        <v>0</v>
      </c>
    </row>
    <row r="94" ht="17.25" customHeight="1" spans="1:33">
      <c r="A94" s="9" t="str">
        <f>'Section-Category'!A98</f>
        <v>Other</v>
      </c>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1">
        <f>SUM(B94:AF94)</f>
        <v>0</v>
      </c>
    </row>
    <row r="95" ht="17.25" customHeight="1" spans="1:33">
      <c r="A95" s="38" t="str">
        <f>'Section-Category'!A99</f>
        <v>Total EDUCATION</v>
      </c>
      <c r="B95" s="42">
        <f t="shared" ref="B95:AC95" si="14">SUM(B91:B94)</f>
        <v>0</v>
      </c>
      <c r="C95" s="42">
        <f t="shared" si="14"/>
        <v>0</v>
      </c>
      <c r="D95" s="42">
        <f t="shared" si="14"/>
        <v>0</v>
      </c>
      <c r="E95" s="42">
        <f t="shared" si="14"/>
        <v>0</v>
      </c>
      <c r="F95" s="42">
        <f t="shared" si="14"/>
        <v>0</v>
      </c>
      <c r="G95" s="42">
        <f t="shared" si="14"/>
        <v>0</v>
      </c>
      <c r="H95" s="42">
        <f t="shared" si="14"/>
        <v>0</v>
      </c>
      <c r="I95" s="42">
        <f t="shared" si="14"/>
        <v>0</v>
      </c>
      <c r="J95" s="42">
        <f t="shared" si="14"/>
        <v>0</v>
      </c>
      <c r="K95" s="42">
        <f t="shared" si="14"/>
        <v>0</v>
      </c>
      <c r="L95" s="42">
        <f t="shared" si="14"/>
        <v>0</v>
      </c>
      <c r="M95" s="42">
        <f t="shared" si="14"/>
        <v>0</v>
      </c>
      <c r="N95" s="42">
        <f t="shared" si="14"/>
        <v>0</v>
      </c>
      <c r="O95" s="42">
        <f t="shared" si="14"/>
        <v>0</v>
      </c>
      <c r="P95" s="42">
        <f t="shared" si="14"/>
        <v>0</v>
      </c>
      <c r="Q95" s="42">
        <f t="shared" si="14"/>
        <v>0</v>
      </c>
      <c r="R95" s="42">
        <f t="shared" si="14"/>
        <v>0</v>
      </c>
      <c r="S95" s="42">
        <f t="shared" si="14"/>
        <v>0</v>
      </c>
      <c r="T95" s="42">
        <f t="shared" si="14"/>
        <v>0</v>
      </c>
      <c r="U95" s="42">
        <f t="shared" si="14"/>
        <v>0</v>
      </c>
      <c r="V95" s="42">
        <f t="shared" si="14"/>
        <v>0</v>
      </c>
      <c r="W95" s="42">
        <f t="shared" si="14"/>
        <v>0</v>
      </c>
      <c r="X95" s="42">
        <f t="shared" si="14"/>
        <v>0</v>
      </c>
      <c r="Y95" s="42">
        <f t="shared" si="14"/>
        <v>0</v>
      </c>
      <c r="Z95" s="42">
        <f t="shared" si="14"/>
        <v>0</v>
      </c>
      <c r="AA95" s="42">
        <f t="shared" si="14"/>
        <v>0</v>
      </c>
      <c r="AB95" s="42">
        <f t="shared" si="14"/>
        <v>0</v>
      </c>
      <c r="AC95" s="42">
        <f t="shared" si="14"/>
        <v>0</v>
      </c>
      <c r="AD95" s="42"/>
      <c r="AE95" s="42">
        <f>SUM(AE91:AE94)</f>
        <v>0</v>
      </c>
      <c r="AF95" s="42">
        <f>SUM(AF91:AF94)</f>
        <v>0</v>
      </c>
      <c r="AG95" s="42">
        <f>SUM(AG91:AG94)</f>
        <v>0</v>
      </c>
    </row>
    <row r="96" spans="1:33">
      <c r="A96" s="27"/>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spans="1:33">
      <c r="A97" s="8" t="str">
        <f>'Section-Category'!A102</f>
        <v>CHARITY/GIFTS</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t="s">
        <v>34</v>
      </c>
    </row>
    <row r="98" spans="1:33">
      <c r="A98" s="9" t="str">
        <f>'Section-Category'!A103</f>
        <v>Gifts Given</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1">
        <f>SUM(B98:AF98)</f>
        <v>0</v>
      </c>
    </row>
    <row r="99" spans="1:33">
      <c r="A99" s="9" t="str">
        <f>'Section-Category'!A104</f>
        <v>Couple Charity</v>
      </c>
      <c r="B99" s="37"/>
      <c r="C99" s="37"/>
      <c r="D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1">
        <f>SUM(B99:AF99)</f>
        <v>0</v>
      </c>
    </row>
    <row r="100" spans="1:33">
      <c r="A100" s="9" t="str">
        <f>'Section-Category'!A105</f>
        <v>Mother Charity</v>
      </c>
      <c r="B100" s="37"/>
      <c r="C100" s="37"/>
      <c r="D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1">
        <f>SUM(B100:AF100)</f>
        <v>0</v>
      </c>
    </row>
    <row r="101" ht="17.25" customHeight="1" spans="1:33">
      <c r="A101" s="9" t="str">
        <f>'Section-Category'!A106</f>
        <v>Other</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1">
        <f>SUM(B101:AF101)</f>
        <v>0</v>
      </c>
    </row>
    <row r="102" ht="17.25" customHeight="1" spans="1:33">
      <c r="A102" s="38" t="str">
        <f>'Section-Category'!A107</f>
        <v>Total CHARITY/GIFTS</v>
      </c>
      <c r="B102" s="42">
        <f t="shared" ref="B102:AC102" si="15">SUM(B98:B101)</f>
        <v>0</v>
      </c>
      <c r="C102" s="42">
        <f t="shared" si="15"/>
        <v>0</v>
      </c>
      <c r="D102" s="42">
        <f t="shared" si="15"/>
        <v>0</v>
      </c>
      <c r="E102" s="42">
        <f t="shared" si="15"/>
        <v>0</v>
      </c>
      <c r="F102" s="42">
        <f t="shared" si="15"/>
        <v>0</v>
      </c>
      <c r="G102" s="42">
        <f t="shared" si="15"/>
        <v>0</v>
      </c>
      <c r="H102" s="42">
        <f t="shared" si="15"/>
        <v>0</v>
      </c>
      <c r="I102" s="42">
        <f t="shared" si="15"/>
        <v>0</v>
      </c>
      <c r="J102" s="42">
        <f t="shared" si="15"/>
        <v>0</v>
      </c>
      <c r="K102" s="42">
        <f t="shared" si="15"/>
        <v>0</v>
      </c>
      <c r="L102" s="42">
        <f t="shared" si="15"/>
        <v>0</v>
      </c>
      <c r="M102" s="42">
        <f t="shared" si="15"/>
        <v>0</v>
      </c>
      <c r="N102" s="42">
        <f t="shared" si="15"/>
        <v>0</v>
      </c>
      <c r="O102" s="42">
        <f t="shared" si="15"/>
        <v>0</v>
      </c>
      <c r="P102" s="42">
        <f t="shared" si="15"/>
        <v>0</v>
      </c>
      <c r="Q102" s="42">
        <f t="shared" si="15"/>
        <v>0</v>
      </c>
      <c r="R102" s="42">
        <f t="shared" si="15"/>
        <v>0</v>
      </c>
      <c r="S102" s="42">
        <f t="shared" si="15"/>
        <v>0</v>
      </c>
      <c r="T102" s="42">
        <f t="shared" si="15"/>
        <v>0</v>
      </c>
      <c r="U102" s="42">
        <f t="shared" si="15"/>
        <v>0</v>
      </c>
      <c r="V102" s="42">
        <f t="shared" si="15"/>
        <v>0</v>
      </c>
      <c r="W102" s="42">
        <f t="shared" si="15"/>
        <v>0</v>
      </c>
      <c r="X102" s="42">
        <f t="shared" si="15"/>
        <v>0</v>
      </c>
      <c r="Y102" s="42">
        <f t="shared" si="15"/>
        <v>0</v>
      </c>
      <c r="Z102" s="42">
        <f t="shared" si="15"/>
        <v>0</v>
      </c>
      <c r="AA102" s="42">
        <f t="shared" si="15"/>
        <v>0</v>
      </c>
      <c r="AB102" s="42">
        <f t="shared" si="15"/>
        <v>0</v>
      </c>
      <c r="AC102" s="42">
        <f t="shared" si="15"/>
        <v>0</v>
      </c>
      <c r="AD102" s="42"/>
      <c r="AE102" s="42">
        <f>SUM(AE98:AE101)</f>
        <v>0</v>
      </c>
      <c r="AF102" s="42">
        <f>SUM(AF98:AF101)</f>
        <v>0</v>
      </c>
      <c r="AG102" s="42">
        <f>SUM(AG98:AG101)</f>
        <v>0</v>
      </c>
    </row>
    <row r="103" spans="1:33">
      <c r="A103" s="27"/>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spans="1:33">
      <c r="A104" s="8" t="str">
        <f>'Section-Category'!A110</f>
        <v>OBLIGATIONS</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t="s">
        <v>34</v>
      </c>
    </row>
    <row r="105" spans="1:33">
      <c r="A105" s="9" t="str">
        <f>'Section-Category'!A111</f>
        <v>Credit Card Debt</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1">
        <f>SUM(B105:AF105)</f>
        <v>0</v>
      </c>
    </row>
    <row r="106" spans="1:33">
      <c r="A106" s="9" t="str">
        <f>'Section-Category'!A112</f>
        <v>Punjab ST on CC Fee @16</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1">
        <f>SUM(B106:AF106)</f>
        <v>0</v>
      </c>
    </row>
    <row r="107" spans="1:33">
      <c r="A107" s="9" t="str">
        <f>'Section-Category'!A113</f>
        <v>Advance Tax 5%</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1">
        <f>SUM(B107:AF107)</f>
        <v>0</v>
      </c>
    </row>
    <row r="108" ht="17.25" customHeight="1" spans="1:33">
      <c r="A108" s="9" t="str">
        <f>'Section-Category'!A114</f>
        <v>Other</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1">
        <f>SUM(B108:AF108)</f>
        <v>0</v>
      </c>
    </row>
    <row r="109" ht="17.25" customHeight="1" spans="1:33">
      <c r="A109" s="38" t="str">
        <f>'Section-Category'!A115</f>
        <v>Total OBLIGATIONS</v>
      </c>
      <c r="B109" s="39">
        <f t="shared" ref="B109:AC109" si="16">SUM(B105:B108)</f>
        <v>0</v>
      </c>
      <c r="C109" s="39">
        <f t="shared" si="16"/>
        <v>0</v>
      </c>
      <c r="D109" s="39">
        <f t="shared" si="16"/>
        <v>0</v>
      </c>
      <c r="E109" s="39">
        <f t="shared" si="16"/>
        <v>0</v>
      </c>
      <c r="F109" s="39">
        <f t="shared" si="16"/>
        <v>0</v>
      </c>
      <c r="G109" s="39">
        <f t="shared" si="16"/>
        <v>0</v>
      </c>
      <c r="H109" s="39">
        <f t="shared" si="16"/>
        <v>0</v>
      </c>
      <c r="I109" s="39">
        <f t="shared" si="16"/>
        <v>0</v>
      </c>
      <c r="J109" s="39">
        <f t="shared" si="16"/>
        <v>0</v>
      </c>
      <c r="K109" s="39">
        <f t="shared" si="16"/>
        <v>0</v>
      </c>
      <c r="L109" s="39">
        <f t="shared" si="16"/>
        <v>0</v>
      </c>
      <c r="M109" s="39">
        <f t="shared" si="16"/>
        <v>0</v>
      </c>
      <c r="N109" s="39">
        <f t="shared" si="16"/>
        <v>0</v>
      </c>
      <c r="O109" s="39">
        <f t="shared" si="16"/>
        <v>0</v>
      </c>
      <c r="P109" s="39">
        <f t="shared" si="16"/>
        <v>0</v>
      </c>
      <c r="Q109" s="39">
        <f t="shared" si="16"/>
        <v>0</v>
      </c>
      <c r="R109" s="39">
        <f t="shared" si="16"/>
        <v>0</v>
      </c>
      <c r="S109" s="39">
        <f t="shared" si="16"/>
        <v>0</v>
      </c>
      <c r="T109" s="39">
        <f t="shared" si="16"/>
        <v>0</v>
      </c>
      <c r="U109" s="39">
        <f t="shared" si="16"/>
        <v>0</v>
      </c>
      <c r="V109" s="39">
        <f t="shared" si="16"/>
        <v>0</v>
      </c>
      <c r="W109" s="39">
        <f t="shared" si="16"/>
        <v>0</v>
      </c>
      <c r="X109" s="39">
        <f t="shared" si="16"/>
        <v>0</v>
      </c>
      <c r="Y109" s="39">
        <f t="shared" si="16"/>
        <v>0</v>
      </c>
      <c r="Z109" s="39">
        <f t="shared" si="16"/>
        <v>0</v>
      </c>
      <c r="AA109" s="39">
        <f t="shared" si="16"/>
        <v>0</v>
      </c>
      <c r="AB109" s="39">
        <f t="shared" si="16"/>
        <v>0</v>
      </c>
      <c r="AC109" s="39">
        <f t="shared" si="16"/>
        <v>0</v>
      </c>
      <c r="AD109" s="39"/>
      <c r="AE109" s="39">
        <f>SUM(AE105:AE108)</f>
        <v>0</v>
      </c>
      <c r="AF109" s="39">
        <f>SUM(AF105:AF108)</f>
        <v>0</v>
      </c>
      <c r="AG109" s="39">
        <f>SUM(AG105:AG108)</f>
        <v>0</v>
      </c>
    </row>
    <row r="110" spans="1:33">
      <c r="A110" s="27"/>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spans="1:33">
      <c r="A111" s="8">
        <f>'Section-Category'!A118</f>
        <v>0</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row>
    <row r="112" spans="1:33">
      <c r="A112" s="9" t="str">
        <f>'Section-Category'!A119</f>
        <v>&lt;Name-Of-Entry&gt;</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1"/>
    </row>
    <row r="113" spans="1:33">
      <c r="A113" s="9" t="str">
        <f>'Section-Category'!A120</f>
        <v>&lt;Name-Of-Entry&gt;</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1"/>
    </row>
    <row r="114" spans="1:33">
      <c r="A114" s="9" t="str">
        <f>'Section-Category'!A121</f>
        <v>&lt;Name-Of-Entry&gt;</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1"/>
    </row>
    <row r="115" ht="17.25" customHeight="1" spans="1:33">
      <c r="A115" s="9" t="str">
        <f>'Section-Category'!A122</f>
        <v>&lt;Name-Of-Entry&gt;</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1"/>
    </row>
    <row r="116" ht="17.25" customHeight="1" spans="1:33">
      <c r="A116" s="38">
        <f>'Section-Category'!C125</f>
        <v>0</v>
      </c>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row>
    <row r="117" spans="1:33">
      <c r="A117" s="27"/>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spans="1:33">
      <c r="A118" s="8" t="str">
        <f>'Section-Category'!A126</f>
        <v>ENTERTAINMENT</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t="s">
        <v>34</v>
      </c>
    </row>
    <row r="119" spans="1:33">
      <c r="A119" s="9" t="str">
        <f>'Section-Category'!A127</f>
        <v>Activities</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1">
        <f t="shared" ref="AG119:AG129" si="17">SUM(B119:AF119)</f>
        <v>0</v>
      </c>
    </row>
    <row r="120" spans="1:33">
      <c r="A120" s="9" t="str">
        <f>'Section-Category'!A128</f>
        <v>Books</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1">
        <f t="shared" si="17"/>
        <v>0</v>
      </c>
    </row>
    <row r="121" spans="1:33">
      <c r="A121" s="9" t="str">
        <f>'Section-Category'!A129</f>
        <v>Games</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1">
        <f t="shared" si="17"/>
        <v>0</v>
      </c>
    </row>
    <row r="122" spans="1:33">
      <c r="A122" s="9" t="str">
        <f>'Section-Category'!A130</f>
        <v>Fun Stuff</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1">
        <f t="shared" si="17"/>
        <v>0</v>
      </c>
    </row>
    <row r="123" spans="1:33">
      <c r="A123" s="9" t="str">
        <f>'Section-Category'!A131</f>
        <v>Hobbies</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1">
        <f t="shared" si="17"/>
        <v>0</v>
      </c>
    </row>
    <row r="124" spans="1:33">
      <c r="A124" s="9" t="str">
        <f>'Section-Category'!A132</f>
        <v>Media</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1">
        <f t="shared" si="17"/>
        <v>0</v>
      </c>
    </row>
    <row r="125" spans="1:33">
      <c r="A125" s="9" t="str">
        <f>'Section-Category'!A133</f>
        <v>Outdoor Recreation</v>
      </c>
      <c r="B125" s="37"/>
      <c r="C125" s="37"/>
      <c r="D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1">
        <f t="shared" si="17"/>
        <v>0</v>
      </c>
    </row>
    <row r="126" spans="1:33">
      <c r="A126" s="9" t="str">
        <f>'Section-Category'!A134</f>
        <v>Sports</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1">
        <f t="shared" si="17"/>
        <v>0</v>
      </c>
    </row>
    <row r="127" spans="1:33">
      <c r="A127" s="9" t="str">
        <f>'Section-Category'!A135</f>
        <v>Toys/Gadgets</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1">
        <f t="shared" si="17"/>
        <v>0</v>
      </c>
    </row>
    <row r="128" spans="1:33">
      <c r="A128" s="9" t="str">
        <f>'Section-Category'!A136</f>
        <v>Vacation/Travel</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1">
        <f t="shared" si="17"/>
        <v>0</v>
      </c>
    </row>
    <row r="129" ht="17.25" customHeight="1" spans="1:38">
      <c r="A129" s="9" t="str">
        <f>'Section-Category'!A137</f>
        <v>Other</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1">
        <f t="shared" si="17"/>
        <v>0</v>
      </c>
    </row>
    <row r="130" ht="17.25" customHeight="1" spans="1:38">
      <c r="A130" s="38" t="str">
        <f>'Section-Category'!A138</f>
        <v>Total ENTERTAINMENT</v>
      </c>
      <c r="B130" s="39">
        <f t="shared" ref="B130:AC130" si="18">SUM(B119:B129)</f>
        <v>0</v>
      </c>
      <c r="C130" s="39">
        <f t="shared" si="18"/>
        <v>0</v>
      </c>
      <c r="D130" s="39">
        <f t="shared" si="18"/>
        <v>0</v>
      </c>
      <c r="E130" s="39">
        <f t="shared" si="18"/>
        <v>0</v>
      </c>
      <c r="F130" s="39">
        <f t="shared" si="18"/>
        <v>0</v>
      </c>
      <c r="G130" s="39">
        <f t="shared" si="18"/>
        <v>0</v>
      </c>
      <c r="H130" s="39">
        <f t="shared" si="18"/>
        <v>0</v>
      </c>
      <c r="I130" s="39">
        <f t="shared" si="18"/>
        <v>0</v>
      </c>
      <c r="J130" s="39">
        <f t="shared" si="18"/>
        <v>0</v>
      </c>
      <c r="K130" s="39">
        <f t="shared" si="18"/>
        <v>0</v>
      </c>
      <c r="L130" s="39">
        <f t="shared" si="18"/>
        <v>0</v>
      </c>
      <c r="M130" s="39">
        <f t="shared" si="18"/>
        <v>0</v>
      </c>
      <c r="N130" s="39">
        <f t="shared" si="18"/>
        <v>0</v>
      </c>
      <c r="O130" s="39">
        <f t="shared" si="18"/>
        <v>0</v>
      </c>
      <c r="P130" s="39">
        <f t="shared" si="18"/>
        <v>0</v>
      </c>
      <c r="Q130" s="39">
        <f t="shared" si="18"/>
        <v>0</v>
      </c>
      <c r="R130" s="39">
        <f t="shared" si="18"/>
        <v>0</v>
      </c>
      <c r="S130" s="39">
        <f t="shared" si="18"/>
        <v>0</v>
      </c>
      <c r="T130" s="39">
        <f t="shared" si="18"/>
        <v>0</v>
      </c>
      <c r="U130" s="39">
        <f t="shared" si="18"/>
        <v>0</v>
      </c>
      <c r="V130" s="39">
        <f t="shared" si="18"/>
        <v>0</v>
      </c>
      <c r="W130" s="39">
        <f t="shared" si="18"/>
        <v>0</v>
      </c>
      <c r="X130" s="39">
        <f t="shared" si="18"/>
        <v>0</v>
      </c>
      <c r="Y130" s="39">
        <f t="shared" si="18"/>
        <v>0</v>
      </c>
      <c r="Z130" s="39">
        <f t="shared" si="18"/>
        <v>0</v>
      </c>
      <c r="AA130" s="39">
        <f t="shared" si="18"/>
        <v>0</v>
      </c>
      <c r="AB130" s="39">
        <f t="shared" si="18"/>
        <v>0</v>
      </c>
      <c r="AC130" s="39">
        <f t="shared" si="18"/>
        <v>0</v>
      </c>
      <c r="AD130" s="39"/>
      <c r="AE130" s="39">
        <f>SUM(AE119:AE129)</f>
        <v>0</v>
      </c>
      <c r="AF130" s="39">
        <f>SUM(AF119:AF129)</f>
        <v>0</v>
      </c>
      <c r="AG130" s="39">
        <f>SUM(AG119:AG129)</f>
        <v>0</v>
      </c>
    </row>
    <row r="131" spans="1:38">
      <c r="A131" s="27"/>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43"/>
    </row>
    <row r="132" spans="1:38">
      <c r="A132" s="8">
        <f>'Section-Category'!A141</f>
        <v>0</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row>
    <row r="133" spans="1:38">
      <c r="A133" s="9" t="str">
        <f>'Section-Category'!A142</f>
        <v>&lt;Name-Of-Entry&gt;</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1"/>
    </row>
    <row r="134" spans="1:38">
      <c r="A134" s="9" t="str">
        <f>'Section-Category'!A143</f>
        <v>&lt;Name-Of-Entry&gt;</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1"/>
    </row>
    <row r="135" spans="1:38">
      <c r="A135" s="9" t="str">
        <f>'Section-Category'!A144</f>
        <v>&lt;Name-Of-Entry&gt;</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1"/>
    </row>
    <row r="136" ht="17.25" customHeight="1" spans="1:38">
      <c r="A136" s="9" t="str">
        <f>'Section-Category'!A145</f>
        <v>&lt;Name-Of-Entry&gt;</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1"/>
    </row>
    <row r="137" ht="17.25" customHeight="1" spans="1:38">
      <c r="A137" s="38" t="str">
        <f>'Section-Category'!A146</f>
        <v>Total </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row>
    <row r="138" spans="1:38">
      <c r="A138" s="27"/>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spans="1:38">
      <c r="A139" s="8" t="str">
        <f>'Section-Category'!A149</f>
        <v>SUBSCRIPTIONS</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t="s">
        <v>34</v>
      </c>
    </row>
    <row r="140" spans="1:38">
      <c r="A140" s="9" t="str">
        <f>'Section-Category'!A150</f>
        <v>Netflix</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1">
        <f t="shared" ref="AG140:AG145" si="19">SUM(B140:AF140)</f>
        <v>0</v>
      </c>
    </row>
    <row r="141" spans="1:38">
      <c r="A141" s="9" t="str">
        <f>'Section-Category'!A151</f>
        <v>Medium</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1">
        <f t="shared" si="19"/>
        <v>0</v>
      </c>
    </row>
    <row r="142" spans="1:38">
      <c r="A142" s="9" t="str">
        <f>'Section-Category'!A152</f>
        <v>Youtube</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1">
        <f t="shared" si="19"/>
        <v>0</v>
      </c>
    </row>
    <row r="143" spans="1:38">
      <c r="A143" s="9" t="str">
        <f>'Section-Category'!A153</f>
        <v>Google One</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1">
        <f t="shared" si="19"/>
        <v>0</v>
      </c>
    </row>
    <row r="144" spans="1:38">
      <c r="A144" s="9" t="str">
        <f>'Section-Category'!A154</f>
        <v>Hetzner VM</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1">
        <f t="shared" si="19"/>
        <v>0</v>
      </c>
      <c r="AL144" s="44"/>
    </row>
    <row r="145" ht="17.25" customHeight="1" spans="1:33">
      <c r="A145" s="9" t="str">
        <f>'Section-Category'!A155</f>
        <v>Claude/ChatGPT/Gemini -AI</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1">
        <f t="shared" si="19"/>
        <v>0</v>
      </c>
    </row>
    <row r="146" ht="17.25" customHeight="1" spans="1:33">
      <c r="A146" s="38" t="str">
        <f>'Section-Category'!A156</f>
        <v>Total SUBSCRIPTIONS</v>
      </c>
      <c r="B146" s="39">
        <f t="shared" ref="B146:AC146" si="20">SUM(B140:B145)</f>
        <v>0</v>
      </c>
      <c r="C146" s="39">
        <f t="shared" si="20"/>
        <v>0</v>
      </c>
      <c r="D146" s="39">
        <f t="shared" si="20"/>
        <v>0</v>
      </c>
      <c r="E146" s="39">
        <f t="shared" si="20"/>
        <v>0</v>
      </c>
      <c r="F146" s="39">
        <f t="shared" si="20"/>
        <v>0</v>
      </c>
      <c r="G146" s="39">
        <f t="shared" si="20"/>
        <v>0</v>
      </c>
      <c r="H146" s="39">
        <f t="shared" si="20"/>
        <v>0</v>
      </c>
      <c r="I146" s="39">
        <f t="shared" si="20"/>
        <v>0</v>
      </c>
      <c r="J146" s="39">
        <f t="shared" si="20"/>
        <v>0</v>
      </c>
      <c r="K146" s="39">
        <f t="shared" si="20"/>
        <v>0</v>
      </c>
      <c r="L146" s="39">
        <f t="shared" si="20"/>
        <v>0</v>
      </c>
      <c r="M146" s="39">
        <f t="shared" si="20"/>
        <v>0</v>
      </c>
      <c r="N146" s="39">
        <f t="shared" si="20"/>
        <v>0</v>
      </c>
      <c r="O146" s="39">
        <f t="shared" si="20"/>
        <v>0</v>
      </c>
      <c r="P146" s="39">
        <f t="shared" si="20"/>
        <v>0</v>
      </c>
      <c r="Q146" s="39">
        <f t="shared" si="20"/>
        <v>0</v>
      </c>
      <c r="R146" s="39">
        <f t="shared" si="20"/>
        <v>0</v>
      </c>
      <c r="S146" s="39">
        <f t="shared" si="20"/>
        <v>0</v>
      </c>
      <c r="T146" s="39">
        <f t="shared" si="20"/>
        <v>0</v>
      </c>
      <c r="U146" s="39">
        <f t="shared" si="20"/>
        <v>0</v>
      </c>
      <c r="V146" s="39">
        <f t="shared" si="20"/>
        <v>0</v>
      </c>
      <c r="W146" s="39">
        <f t="shared" si="20"/>
        <v>0</v>
      </c>
      <c r="X146" s="39">
        <f t="shared" si="20"/>
        <v>0</v>
      </c>
      <c r="Y146" s="39">
        <f t="shared" si="20"/>
        <v>0</v>
      </c>
      <c r="Z146" s="39">
        <f t="shared" si="20"/>
        <v>0</v>
      </c>
      <c r="AA146" s="39">
        <f t="shared" si="20"/>
        <v>0</v>
      </c>
      <c r="AB146" s="39">
        <f t="shared" si="20"/>
        <v>0</v>
      </c>
      <c r="AC146" s="39">
        <f t="shared" si="20"/>
        <v>0</v>
      </c>
      <c r="AD146" s="39"/>
      <c r="AE146" s="39">
        <f>SUM(AE140:AE145)</f>
        <v>0</v>
      </c>
      <c r="AF146" s="39">
        <f>SUM(AF140:AF145)</f>
        <v>0</v>
      </c>
      <c r="AG146" s="39">
        <f>SUM(AG140:AG145)</f>
        <v>0</v>
      </c>
    </row>
    <row r="147" spans="1:33">
      <c r="A147" s="45" t="s">
        <v>48</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spans="1:33">
      <c r="A148" s="8" t="str">
        <f>'Section-Category'!A159</f>
        <v>VACATION</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t="s">
        <v>34</v>
      </c>
    </row>
    <row r="149" spans="1:33">
      <c r="A149" s="9" t="str">
        <f>'Section-Category'!A160</f>
        <v>Travel</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1">
        <f t="shared" ref="AG149:AG154" si="21">SUM(B149:AF149)</f>
        <v>0</v>
      </c>
    </row>
    <row r="150" spans="1:33">
      <c r="A150" s="9" t="str">
        <f>'Section-Category'!A161</f>
        <v>Lodging</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1">
        <f t="shared" si="21"/>
        <v>0</v>
      </c>
    </row>
    <row r="151" spans="1:33">
      <c r="A151" s="9" t="str">
        <f>'Section-Category'!A162</f>
        <v>Food</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1">
        <f t="shared" si="21"/>
        <v>0</v>
      </c>
    </row>
    <row r="152" spans="1:33">
      <c r="A152" s="9" t="str">
        <f>'Section-Category'!A163</f>
        <v>Rental Car</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1">
        <f t="shared" si="21"/>
        <v>0</v>
      </c>
    </row>
    <row r="153" spans="1:33">
      <c r="A153" s="9" t="str">
        <f>'Section-Category'!A164</f>
        <v>Entertainment</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1">
        <f t="shared" si="21"/>
        <v>0</v>
      </c>
    </row>
    <row r="154" ht="17.25" customHeight="1" spans="1:33">
      <c r="A154" s="9" t="str">
        <f>'Section-Category'!A165</f>
        <v>Other</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1">
        <f t="shared" si="21"/>
        <v>0</v>
      </c>
    </row>
    <row r="155" ht="17.25" customHeight="1" spans="1:33">
      <c r="A155" s="38" t="str">
        <f>'Section-Category'!A166</f>
        <v>Total VACATION</v>
      </c>
      <c r="B155" s="39">
        <f t="shared" ref="B155:AC155" si="22">SUM(B149:B154)</f>
        <v>0</v>
      </c>
      <c r="C155" s="39">
        <f t="shared" si="22"/>
        <v>0</v>
      </c>
      <c r="D155" s="39">
        <f t="shared" si="22"/>
        <v>0</v>
      </c>
      <c r="E155" s="39">
        <f t="shared" si="22"/>
        <v>0</v>
      </c>
      <c r="F155" s="39">
        <f t="shared" si="22"/>
        <v>0</v>
      </c>
      <c r="G155" s="39">
        <f t="shared" si="22"/>
        <v>0</v>
      </c>
      <c r="H155" s="39">
        <f t="shared" si="22"/>
        <v>0</v>
      </c>
      <c r="I155" s="39">
        <f t="shared" si="22"/>
        <v>0</v>
      </c>
      <c r="J155" s="39">
        <f t="shared" si="22"/>
        <v>0</v>
      </c>
      <c r="K155" s="39">
        <f t="shared" si="22"/>
        <v>0</v>
      </c>
      <c r="L155" s="39">
        <f t="shared" si="22"/>
        <v>0</v>
      </c>
      <c r="M155" s="39">
        <f t="shared" si="22"/>
        <v>0</v>
      </c>
      <c r="N155" s="39">
        <f t="shared" si="22"/>
        <v>0</v>
      </c>
      <c r="O155" s="39">
        <f t="shared" si="22"/>
        <v>0</v>
      </c>
      <c r="P155" s="39">
        <f t="shared" si="22"/>
        <v>0</v>
      </c>
      <c r="Q155" s="39">
        <f t="shared" si="22"/>
        <v>0</v>
      </c>
      <c r="R155" s="39">
        <f t="shared" si="22"/>
        <v>0</v>
      </c>
      <c r="S155" s="39">
        <f t="shared" si="22"/>
        <v>0</v>
      </c>
      <c r="T155" s="39">
        <f t="shared" si="22"/>
        <v>0</v>
      </c>
      <c r="U155" s="39">
        <f t="shared" si="22"/>
        <v>0</v>
      </c>
      <c r="V155" s="39">
        <f t="shared" si="22"/>
        <v>0</v>
      </c>
      <c r="W155" s="39">
        <f t="shared" si="22"/>
        <v>0</v>
      </c>
      <c r="X155" s="39">
        <f t="shared" si="22"/>
        <v>0</v>
      </c>
      <c r="Y155" s="39">
        <f t="shared" si="22"/>
        <v>0</v>
      </c>
      <c r="Z155" s="39">
        <f t="shared" si="22"/>
        <v>0</v>
      </c>
      <c r="AA155" s="39">
        <f t="shared" si="22"/>
        <v>0</v>
      </c>
      <c r="AB155" s="39">
        <f t="shared" si="22"/>
        <v>0</v>
      </c>
      <c r="AC155" s="39">
        <f t="shared" si="22"/>
        <v>0</v>
      </c>
      <c r="AD155" s="39"/>
      <c r="AE155" s="39">
        <f>SUM(AE149:AE154)</f>
        <v>0</v>
      </c>
      <c r="AF155" s="39">
        <f>SUM(AF149:AF154)</f>
        <v>0</v>
      </c>
      <c r="AG155" s="39">
        <f>SUM(AG149:AG154)</f>
        <v>0</v>
      </c>
    </row>
    <row r="156" spans="1:33">
      <c r="A156" s="45"/>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spans="1:33">
      <c r="A157" s="8" t="str">
        <f>'Section-Category'!A169</f>
        <v>MISCELLANEOUS</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t="s">
        <v>34</v>
      </c>
    </row>
    <row r="158" spans="1:33">
      <c r="A158" s="9" t="str">
        <f>'Section-Category'!A170</f>
        <v>Bank Fees</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1">
        <f>SUM(B158:AF158)</f>
        <v>0</v>
      </c>
    </row>
    <row r="159" spans="1:33">
      <c r="A159" s="9" t="str">
        <f>'Section-Category'!A171</f>
        <v>Postage</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1">
        <f>SUM(B159:AF159)</f>
        <v>0</v>
      </c>
    </row>
    <row r="160" spans="1:33">
      <c r="A160" s="9" t="str">
        <f>'Section-Category'!A172</f>
        <v>Other</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1">
        <f>SUM(B160:AF160)</f>
        <v>0</v>
      </c>
    </row>
    <row r="161" spans="1:33">
      <c r="A161" s="9" t="str">
        <f>'Section-Category'!A173</f>
        <v>&lt;Name-Of-Entry&gt;</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1">
        <f>SUM(B161:AF161)</f>
        <v>0</v>
      </c>
    </row>
    <row r="162" ht="17.25" customHeight="1" spans="1:33">
      <c r="A162" s="9" t="str">
        <f>'Section-Category'!A174</f>
        <v>&lt;Name-Of-Entry&gt;</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1">
        <f>SUM(B162:AF162)</f>
        <v>0</v>
      </c>
    </row>
    <row r="163" ht="17.25" customHeight="1" spans="1:33">
      <c r="A163" s="38" t="str">
        <f>'Section-Category'!A175</f>
        <v>Total MISCELLANEOUS</v>
      </c>
      <c r="B163" s="39">
        <f t="shared" ref="B163:AC163" si="23">SUM(B158:B162)</f>
        <v>0</v>
      </c>
      <c r="C163" s="39">
        <f t="shared" si="23"/>
        <v>0</v>
      </c>
      <c r="D163" s="39">
        <f t="shared" si="23"/>
        <v>0</v>
      </c>
      <c r="E163" s="39">
        <f t="shared" si="23"/>
        <v>0</v>
      </c>
      <c r="F163" s="39">
        <f t="shared" si="23"/>
        <v>0</v>
      </c>
      <c r="G163" s="39">
        <f t="shared" si="23"/>
        <v>0</v>
      </c>
      <c r="H163" s="39">
        <f t="shared" si="23"/>
        <v>0</v>
      </c>
      <c r="I163" s="39">
        <f t="shared" si="23"/>
        <v>0</v>
      </c>
      <c r="J163" s="39">
        <f t="shared" si="23"/>
        <v>0</v>
      </c>
      <c r="K163" s="39">
        <f t="shared" si="23"/>
        <v>0</v>
      </c>
      <c r="L163" s="39">
        <f t="shared" si="23"/>
        <v>0</v>
      </c>
      <c r="M163" s="39">
        <f t="shared" si="23"/>
        <v>0</v>
      </c>
      <c r="N163" s="39">
        <f t="shared" si="23"/>
        <v>0</v>
      </c>
      <c r="O163" s="39">
        <f t="shared" si="23"/>
        <v>0</v>
      </c>
      <c r="P163" s="39">
        <f t="shared" si="23"/>
        <v>0</v>
      </c>
      <c r="Q163" s="39">
        <f t="shared" si="23"/>
        <v>0</v>
      </c>
      <c r="R163" s="39">
        <f t="shared" si="23"/>
        <v>0</v>
      </c>
      <c r="S163" s="39">
        <f t="shared" si="23"/>
        <v>0</v>
      </c>
      <c r="T163" s="39">
        <f t="shared" si="23"/>
        <v>0</v>
      </c>
      <c r="U163" s="39">
        <f t="shared" si="23"/>
        <v>0</v>
      </c>
      <c r="V163" s="39">
        <f t="shared" si="23"/>
        <v>0</v>
      </c>
      <c r="W163" s="39">
        <f t="shared" si="23"/>
        <v>0</v>
      </c>
      <c r="X163" s="39">
        <f t="shared" si="23"/>
        <v>0</v>
      </c>
      <c r="Y163" s="39">
        <f t="shared" si="23"/>
        <v>0</v>
      </c>
      <c r="Z163" s="39">
        <f t="shared" si="23"/>
        <v>0</v>
      </c>
      <c r="AA163" s="39">
        <f t="shared" si="23"/>
        <v>0</v>
      </c>
      <c r="AB163" s="39">
        <f t="shared" si="23"/>
        <v>0</v>
      </c>
      <c r="AC163" s="39">
        <f t="shared" si="23"/>
        <v>0</v>
      </c>
      <c r="AD163" s="39"/>
      <c r="AE163" s="39">
        <f>SUM(AE158:AE162)</f>
        <v>0</v>
      </c>
      <c r="AF163" s="39">
        <f>SUM(AF158:AF162)</f>
        <v>0</v>
      </c>
      <c r="AG163" s="39">
        <f>SUM(AG158:AG162)</f>
        <v>0</v>
      </c>
    </row>
    <row r="164" spans="1:33">
      <c r="A164" s="44" t="s">
        <v>49</v>
      </c>
      <c r="B164" s="30">
        <f t="shared" ref="B164:AC164" si="24">SUM(B31,B47,B60,B71,B88,B23,B95,B102,B109,B116,B130,B137,B146,B155,B163)</f>
        <v>0</v>
      </c>
      <c r="C164" s="30">
        <f t="shared" si="24"/>
        <v>0</v>
      </c>
      <c r="D164" s="30">
        <f t="shared" si="24"/>
        <v>0</v>
      </c>
      <c r="E164" s="30">
        <f t="shared" si="24"/>
        <v>0</v>
      </c>
      <c r="F164" s="30">
        <f t="shared" si="24"/>
        <v>0</v>
      </c>
      <c r="G164" s="30">
        <f t="shared" si="24"/>
        <v>0</v>
      </c>
      <c r="H164" s="30">
        <f t="shared" si="24"/>
        <v>0</v>
      </c>
      <c r="I164" s="30">
        <f t="shared" si="24"/>
        <v>0</v>
      </c>
      <c r="J164" s="30">
        <f t="shared" si="24"/>
        <v>0</v>
      </c>
      <c r="K164" s="30">
        <f t="shared" si="24"/>
        <v>0</v>
      </c>
      <c r="L164" s="30">
        <f t="shared" si="24"/>
        <v>0</v>
      </c>
      <c r="M164" s="30">
        <f t="shared" si="24"/>
        <v>0</v>
      </c>
      <c r="N164" s="30">
        <f t="shared" si="24"/>
        <v>0</v>
      </c>
      <c r="O164" s="30">
        <f t="shared" si="24"/>
        <v>0</v>
      </c>
      <c r="P164" s="30">
        <f t="shared" si="24"/>
        <v>0</v>
      </c>
      <c r="Q164" s="30">
        <f t="shared" si="24"/>
        <v>0</v>
      </c>
      <c r="R164" s="30">
        <f t="shared" si="24"/>
        <v>0</v>
      </c>
      <c r="S164" s="30">
        <f t="shared" si="24"/>
        <v>0</v>
      </c>
      <c r="T164" s="30">
        <f t="shared" si="24"/>
        <v>0</v>
      </c>
      <c r="U164" s="30">
        <f t="shared" si="24"/>
        <v>0</v>
      </c>
      <c r="V164" s="30">
        <f t="shared" si="24"/>
        <v>0</v>
      </c>
      <c r="W164" s="30">
        <f t="shared" si="24"/>
        <v>0</v>
      </c>
      <c r="X164" s="30">
        <f t="shared" si="24"/>
        <v>0</v>
      </c>
      <c r="Y164" s="30">
        <f t="shared" si="24"/>
        <v>0</v>
      </c>
      <c r="Z164" s="30">
        <f t="shared" si="24"/>
        <v>0</v>
      </c>
      <c r="AA164" s="30">
        <f t="shared" si="24"/>
        <v>0</v>
      </c>
      <c r="AB164" s="30">
        <f t="shared" si="24"/>
        <v>0</v>
      </c>
      <c r="AC164" s="30">
        <f t="shared" si="24"/>
        <v>0</v>
      </c>
      <c r="AD164" s="30"/>
      <c r="AE164" s="30">
        <f>SUM(AE31,AE47,AE60,AE71,AE88,AE23,AE95,AE102,AE109,AE116,AE130,AE137,AE146,AE155,AE163)</f>
        <v>0</v>
      </c>
      <c r="AF164" s="30">
        <f>SUM(AF31,AF47,AF60,AF71,AF88,AF23,AF95,AF102,AF109,AF116,AF130,AF137,AF146,AF155,AF163)</f>
        <v>0</v>
      </c>
      <c r="AG164" s="30">
        <f>SUM(AG31,AG47,AG60,AG71,AG88,AG23,AG95,AG102,AG109,AG116,AG130,AG137,AG146,AG155,AG163)</f>
        <v>0</v>
      </c>
    </row>
    <row r="165" spans="1:3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row>
    <row r="166" spans="1:3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row>
    <row r="167" spans="1:3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row>
    <row r="168" spans="1:33">
      <c r="B168" s="46"/>
      <c r="C168" s="46"/>
      <c r="D168" s="46"/>
      <c r="E168" s="46"/>
      <c r="F168" s="46"/>
      <c r="G168" s="46"/>
      <c r="H168" s="47" t="s">
        <v>50</v>
      </c>
      <c r="I168" s="47"/>
      <c r="J168" s="47"/>
      <c r="K168" s="47"/>
      <c r="L168" s="47"/>
      <c r="M168" s="47"/>
      <c r="N168" s="46"/>
      <c r="O168" s="46"/>
      <c r="P168" s="46"/>
      <c r="Q168" s="46"/>
      <c r="R168" s="46"/>
      <c r="S168" s="46"/>
      <c r="T168" s="46"/>
      <c r="U168" s="46"/>
      <c r="V168" s="46"/>
      <c r="W168" s="46"/>
      <c r="X168" s="46"/>
      <c r="Y168" s="46"/>
      <c r="Z168" s="46"/>
      <c r="AA168" s="46"/>
      <c r="AB168" s="46"/>
      <c r="AC168" s="46"/>
      <c r="AD168" s="46"/>
      <c r="AE168" s="46"/>
      <c r="AF168" s="46"/>
      <c r="AG168" s="46"/>
    </row>
    <row r="169" spans="1:33">
      <c r="B169" s="46"/>
      <c r="C169" s="46"/>
      <c r="D169" s="46"/>
      <c r="E169" s="46"/>
      <c r="F169" s="46"/>
      <c r="G169" s="46"/>
      <c r="H169" s="47"/>
      <c r="I169" s="47"/>
      <c r="J169" s="47"/>
      <c r="K169" s="47"/>
      <c r="L169" s="47"/>
      <c r="M169" s="47"/>
      <c r="N169" s="46"/>
      <c r="O169" s="46"/>
      <c r="P169" s="46"/>
      <c r="Q169" s="46"/>
      <c r="R169" s="46"/>
      <c r="S169" s="46"/>
      <c r="T169" s="46"/>
      <c r="U169" s="46"/>
      <c r="V169" s="46"/>
      <c r="W169" s="46"/>
      <c r="X169" s="46"/>
      <c r="Y169" s="46"/>
      <c r="Z169" s="46"/>
      <c r="AA169" s="46"/>
      <c r="AB169" s="46"/>
      <c r="AC169" s="46"/>
      <c r="AD169" s="46"/>
      <c r="AE169" s="46"/>
      <c r="AF169" s="46"/>
      <c r="AG169" s="46"/>
    </row>
    <row r="170" spans="1:33">
      <c r="B170" s="46"/>
      <c r="C170" s="46"/>
      <c r="D170" s="46"/>
      <c r="E170" s="46"/>
      <c r="F170" s="46"/>
      <c r="G170" s="46"/>
      <c r="H170" s="47"/>
      <c r="I170" s="47"/>
      <c r="J170" s="47"/>
      <c r="K170" s="47"/>
      <c r="L170" s="47"/>
      <c r="M170" s="47"/>
      <c r="N170" s="46"/>
      <c r="O170" s="46"/>
      <c r="P170" s="46"/>
      <c r="Q170" s="46"/>
      <c r="R170" s="46"/>
      <c r="S170" s="46"/>
      <c r="T170" s="46"/>
      <c r="U170" s="46"/>
      <c r="V170" s="46"/>
      <c r="W170" s="46"/>
      <c r="X170" s="46"/>
      <c r="Y170" s="46"/>
      <c r="Z170" s="46"/>
      <c r="AA170" s="46"/>
      <c r="AB170" s="46"/>
      <c r="AC170" s="46"/>
      <c r="AD170" s="46"/>
      <c r="AE170" s="46"/>
      <c r="AF170" s="46"/>
      <c r="AG170" s="46"/>
    </row>
    <row r="171" spans="1:33">
      <c r="C171" s="46"/>
      <c r="D171" s="46"/>
      <c r="E171" s="46"/>
      <c r="F171" s="46"/>
      <c r="G171" s="46"/>
      <c r="H171" s="47"/>
      <c r="I171" s="47"/>
      <c r="J171" s="47"/>
      <c r="K171" s="47"/>
      <c r="L171" s="47"/>
      <c r="M171" s="47"/>
      <c r="N171" s="46"/>
      <c r="O171" s="46"/>
      <c r="P171" s="46"/>
      <c r="Q171" s="46"/>
      <c r="R171" s="46"/>
      <c r="S171" s="46"/>
      <c r="T171" s="46"/>
      <c r="U171" s="46"/>
      <c r="V171" s="46"/>
      <c r="W171" s="46"/>
      <c r="X171" s="46"/>
      <c r="Y171" s="46"/>
      <c r="Z171" s="46"/>
      <c r="AA171" s="46"/>
      <c r="AB171" s="46"/>
      <c r="AC171" s="46"/>
      <c r="AD171" s="46"/>
      <c r="AE171" s="46"/>
      <c r="AF171" s="46"/>
      <c r="AG171" s="46"/>
    </row>
    <row r="172" spans="1:33">
      <c r="B172" s="46"/>
      <c r="C172" s="46"/>
      <c r="D172" s="46"/>
      <c r="E172" s="46"/>
      <c r="F172" s="46"/>
      <c r="G172" s="46"/>
      <c r="H172" s="47"/>
      <c r="I172" s="47"/>
      <c r="J172" s="47"/>
      <c r="K172" s="47"/>
      <c r="L172" s="47"/>
      <c r="M172" s="47"/>
      <c r="N172" s="46"/>
      <c r="O172" s="46"/>
      <c r="P172" s="46"/>
      <c r="Q172" s="46"/>
      <c r="R172" s="46"/>
      <c r="S172" s="46"/>
      <c r="T172" s="46"/>
      <c r="U172" s="46"/>
      <c r="V172" s="46"/>
      <c r="W172" s="46"/>
      <c r="X172" s="46"/>
      <c r="Y172" s="46"/>
      <c r="Z172" s="46"/>
      <c r="AA172" s="46"/>
      <c r="AB172" s="46"/>
      <c r="AC172" s="46"/>
      <c r="AD172" s="46"/>
      <c r="AE172" s="46"/>
      <c r="AF172" s="46"/>
      <c r="AG172" s="46"/>
    </row>
    <row r="173" spans="1:3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row>
    <row r="174" spans="1:3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row>
    <row r="175" spans="1:33">
      <c r="A175" s="48" t="s">
        <v>51</v>
      </c>
      <c r="B175" s="48" t="s">
        <v>52</v>
      </c>
      <c r="C175" s="49" t="s">
        <v>19</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row>
    <row r="176" ht="16.5" customHeight="1" spans="1:33">
      <c r="A176" t="str">
        <f>'Section-Category'!A12</f>
        <v>Emergency Fund</v>
      </c>
      <c r="B176" s="50" t="str">
        <f t="shared" ref="B176:B239" si="25">IF(TRIM($C176)="0","0",ROUND(($C176/C$276)*100,2))</f>
        <v>0</v>
      </c>
      <c r="C176" s="51">
        <f>AG26</f>
        <v>0</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row>
    <row r="177" ht="16.5" customHeight="1" spans="1:33">
      <c r="A177" t="str">
        <f>'Section-Category'!A13</f>
        <v>Investments</v>
      </c>
      <c r="B177" s="50" t="str">
        <f t="shared" si="25"/>
        <v>0</v>
      </c>
      <c r="C177" s="51">
        <f>AG27</f>
        <v>0</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row>
    <row r="178" ht="16.5" customHeight="1" spans="1:33">
      <c r="A178" t="str">
        <f>'Section-Category'!A14</f>
        <v>Pocket Money Wife</v>
      </c>
      <c r="B178" s="50" t="str">
        <f t="shared" si="25"/>
        <v>0</v>
      </c>
      <c r="C178" s="51">
        <f>AG28</f>
        <v>0</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6.5" customHeight="1" spans="1:33">
      <c r="A179" t="str">
        <f>'Section-Category'!A15</f>
        <v>&lt;Name-Of-Entry&gt;</v>
      </c>
      <c r="B179" s="50" t="str">
        <f t="shared" si="25"/>
        <v>0</v>
      </c>
      <c r="C179" s="51">
        <f>AG29</f>
        <v>0</v>
      </c>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row>
    <row r="180" ht="16.5" customHeight="1" spans="1:33">
      <c r="A180" t="str">
        <f>'Section-Category'!A16</f>
        <v>&lt;Name-Of-Entry&gt;</v>
      </c>
      <c r="B180" s="50" t="str">
        <f t="shared" si="25"/>
        <v>0</v>
      </c>
      <c r="C180" s="51">
        <f>AG30</f>
        <v>0</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6.5" customHeight="1" spans="1:33">
      <c r="A181" t="str">
        <f>'Section-Category'!A21</f>
        <v>Mortgage/Rent</v>
      </c>
      <c r="B181" s="50" t="str">
        <f t="shared" si="25"/>
        <v>0</v>
      </c>
      <c r="C181" s="51">
        <f t="shared" ref="C181:C193" si="26">AG34</f>
        <v>0</v>
      </c>
    </row>
    <row r="182" ht="16.5" customHeight="1" spans="1:33">
      <c r="A182" t="str">
        <f>'Section-Category'!A22</f>
        <v>Electricity</v>
      </c>
      <c r="B182" s="50" t="str">
        <f t="shared" si="25"/>
        <v>0</v>
      </c>
      <c r="C182" s="51">
        <f t="shared" si="26"/>
        <v>0</v>
      </c>
    </row>
    <row r="183" ht="16.5" customHeight="1" spans="1:33">
      <c r="A183" t="str">
        <f>'Section-Category'!A23</f>
        <v>Gas/Oil</v>
      </c>
      <c r="B183" s="50" t="str">
        <f t="shared" si="25"/>
        <v>0</v>
      </c>
      <c r="C183" s="51">
        <f t="shared" si="26"/>
        <v>0</v>
      </c>
    </row>
    <row r="184" ht="16.5" customHeight="1" spans="1:33">
      <c r="A184" t="str">
        <f>'Section-Category'!A24</f>
        <v>Water/Sewer/Trash</v>
      </c>
      <c r="B184" s="50" t="str">
        <f t="shared" si="25"/>
        <v>0</v>
      </c>
      <c r="C184" s="51">
        <f t="shared" si="26"/>
        <v>0</v>
      </c>
    </row>
    <row r="185" ht="16.5" customHeight="1" spans="1:33">
      <c r="A185" t="str">
        <f>'Section-Category'!A25</f>
        <v>Phone</v>
      </c>
      <c r="B185" s="50" t="str">
        <f t="shared" si="25"/>
        <v>0</v>
      </c>
      <c r="C185" s="51">
        <f t="shared" si="26"/>
        <v>0</v>
      </c>
    </row>
    <row r="186" ht="16.5" customHeight="1" spans="1:33">
      <c r="A186" t="str">
        <f>'Section-Category'!A26</f>
        <v>Cable/Satellite</v>
      </c>
      <c r="B186" s="50" t="str">
        <f t="shared" si="25"/>
        <v>0</v>
      </c>
      <c r="C186" s="51">
        <f t="shared" si="26"/>
        <v>0</v>
      </c>
    </row>
    <row r="187" ht="16.5" customHeight="1" spans="1:33">
      <c r="A187" t="str">
        <f>'Section-Category'!A27</f>
        <v>Internet</v>
      </c>
      <c r="B187" s="50" t="str">
        <f t="shared" si="25"/>
        <v>0</v>
      </c>
      <c r="C187" s="51">
        <f t="shared" si="26"/>
        <v>0</v>
      </c>
    </row>
    <row r="188" ht="16.5" customHeight="1" spans="1:33">
      <c r="A188" t="str">
        <f>'Section-Category'!A28</f>
        <v>Furnishings/Appliances</v>
      </c>
      <c r="B188" s="50" t="str">
        <f t="shared" si="25"/>
        <v>0</v>
      </c>
      <c r="C188" s="51">
        <f t="shared" si="26"/>
        <v>0</v>
      </c>
    </row>
    <row r="189" ht="16.5" customHeight="1" spans="1:33">
      <c r="A189" t="str">
        <f>'Section-Category'!A29</f>
        <v>Lawn/Garden</v>
      </c>
      <c r="B189" s="50" t="str">
        <f t="shared" si="25"/>
        <v>0</v>
      </c>
      <c r="C189" s="51">
        <f t="shared" si="26"/>
        <v>0</v>
      </c>
    </row>
    <row r="190" ht="16.5" customHeight="1" spans="1:33">
      <c r="A190" t="str">
        <f>'Section-Category'!A30</f>
        <v>Home Supplies</v>
      </c>
      <c r="B190" s="50" t="str">
        <f t="shared" si="25"/>
        <v>0</v>
      </c>
      <c r="C190" s="51">
        <f t="shared" si="26"/>
        <v>0</v>
      </c>
    </row>
    <row r="191" ht="16.5" customHeight="1" spans="1:33">
      <c r="A191" t="str">
        <f>'Section-Category'!A31</f>
        <v>Maintenance</v>
      </c>
      <c r="B191" s="50" t="str">
        <f t="shared" si="25"/>
        <v>0</v>
      </c>
      <c r="C191" s="51">
        <f t="shared" si="26"/>
        <v>0</v>
      </c>
    </row>
    <row r="192" ht="16.5" customHeight="1" spans="1:33">
      <c r="A192" t="str">
        <f>'Section-Category'!A32</f>
        <v>Improvements</v>
      </c>
      <c r="B192" s="50" t="str">
        <f t="shared" si="25"/>
        <v>0</v>
      </c>
      <c r="C192" s="51">
        <f t="shared" si="26"/>
        <v>0</v>
      </c>
    </row>
    <row r="193" ht="16.5" customHeight="1" spans="1:3">
      <c r="A193" t="str">
        <f>'Section-Category'!A33</f>
        <v>Other</v>
      </c>
      <c r="B193" s="50" t="str">
        <f t="shared" si="25"/>
        <v>0</v>
      </c>
      <c r="C193" s="51">
        <f t="shared" si="26"/>
        <v>0</v>
      </c>
    </row>
    <row r="194" ht="16.5" customHeight="1" spans="1:3">
      <c r="A194" t="str">
        <f>'Section-Category'!A38</f>
        <v>Groceries</v>
      </c>
      <c r="B194" s="50" t="str">
        <f t="shared" si="25"/>
        <v>0</v>
      </c>
      <c r="C194" s="51">
        <f t="shared" ref="C194:C203" si="27">AG50</f>
        <v>0</v>
      </c>
    </row>
    <row r="195" ht="16.5" customHeight="1" spans="1:3">
      <c r="A195" t="str">
        <f>'Section-Category'!A39</f>
        <v>Personal Supplies</v>
      </c>
      <c r="B195" s="50" t="str">
        <f t="shared" si="25"/>
        <v>0</v>
      </c>
      <c r="C195" s="51">
        <f t="shared" si="27"/>
        <v>0</v>
      </c>
    </row>
    <row r="196" ht="16.5" customHeight="1" spans="1:3">
      <c r="A196" t="str">
        <f>'Section-Category'!A40</f>
        <v>Clothing</v>
      </c>
      <c r="B196" s="50" t="str">
        <f t="shared" si="25"/>
        <v>0</v>
      </c>
      <c r="C196" s="51">
        <f t="shared" si="27"/>
        <v>0</v>
      </c>
    </row>
    <row r="197" ht="16.5" customHeight="1" spans="1:3">
      <c r="A197" t="str">
        <f>'Section-Category'!A41</f>
        <v>Cleaning Services</v>
      </c>
      <c r="B197" s="50" t="str">
        <f t="shared" si="25"/>
        <v>0</v>
      </c>
      <c r="C197" s="51">
        <f t="shared" si="27"/>
        <v>0</v>
      </c>
    </row>
    <row r="198" ht="16.5" customHeight="1" spans="1:3">
      <c r="A198" t="str">
        <f>'Section-Category'!A42</f>
        <v>Dining/Eating Out</v>
      </c>
      <c r="B198" s="50" t="str">
        <f t="shared" si="25"/>
        <v>0</v>
      </c>
      <c r="C198" s="51">
        <f t="shared" si="27"/>
        <v>0</v>
      </c>
    </row>
    <row r="199" ht="16.5" customHeight="1" spans="1:3">
      <c r="A199" t="str">
        <f>'Section-Category'!A43</f>
        <v>Dry Cleaning</v>
      </c>
      <c r="B199" s="50" t="str">
        <f t="shared" si="25"/>
        <v>0</v>
      </c>
      <c r="C199" s="51">
        <f t="shared" si="27"/>
        <v>0</v>
      </c>
    </row>
    <row r="200" ht="16.5" customHeight="1" spans="1:3">
      <c r="A200" t="str">
        <f>'Section-Category'!A44</f>
        <v>Salon/Barber</v>
      </c>
      <c r="B200" s="50" t="str">
        <f t="shared" si="25"/>
        <v>0</v>
      </c>
      <c r="C200" s="51">
        <f t="shared" si="27"/>
        <v>0</v>
      </c>
    </row>
    <row r="201" ht="16.5" customHeight="1" spans="1:3">
      <c r="A201" t="str">
        <f>'Section-Category'!A45</f>
        <v>FoodPanda</v>
      </c>
      <c r="B201" s="50" t="str">
        <f t="shared" si="25"/>
        <v>0</v>
      </c>
      <c r="C201" s="51">
        <f t="shared" si="27"/>
        <v>0</v>
      </c>
    </row>
    <row r="202" ht="16.5" customHeight="1" spans="1:3">
      <c r="A202" t="str">
        <f>'Section-Category'!A46</f>
        <v>JazzCash/EasyPaisa</v>
      </c>
      <c r="B202" s="50" t="str">
        <f t="shared" si="25"/>
        <v>0</v>
      </c>
      <c r="C202" s="51">
        <f t="shared" si="27"/>
        <v>0</v>
      </c>
    </row>
    <row r="203" ht="16.5" customHeight="1" spans="1:3">
      <c r="A203" t="str">
        <f>'Section-Category'!A47</f>
        <v>Other</v>
      </c>
      <c r="B203" s="50" t="str">
        <f t="shared" si="25"/>
        <v>0</v>
      </c>
      <c r="C203" s="51">
        <f t="shared" si="27"/>
        <v>0</v>
      </c>
    </row>
    <row r="204" ht="16.5" customHeight="1" spans="1:3">
      <c r="A204" t="str">
        <f>'Section-Category'!A52</f>
        <v>Medical</v>
      </c>
      <c r="B204" s="50" t="str">
        <f t="shared" si="25"/>
        <v>0</v>
      </c>
      <c r="C204" s="51">
        <f t="shared" ref="C204:C211" si="28">AG63</f>
        <v>0</v>
      </c>
    </row>
    <row r="205" ht="16.5" customHeight="1" spans="1:3">
      <c r="A205" t="str">
        <f>'Section-Category'!A53</f>
        <v>Clothing</v>
      </c>
      <c r="B205" s="50" t="str">
        <f t="shared" si="25"/>
        <v>0</v>
      </c>
      <c r="C205" s="51">
        <f t="shared" si="28"/>
        <v>0</v>
      </c>
    </row>
    <row r="206" ht="16.5" customHeight="1" spans="1:3">
      <c r="A206" t="str">
        <f>'Section-Category'!A54</f>
        <v>School Tuition</v>
      </c>
      <c r="B206" s="50" t="str">
        <f t="shared" si="25"/>
        <v>0</v>
      </c>
      <c r="C206" s="51">
        <f t="shared" si="28"/>
        <v>0</v>
      </c>
    </row>
    <row r="207" ht="16.5" customHeight="1" spans="1:3">
      <c r="A207" t="str">
        <f>'Section-Category'!A55</f>
        <v>School Lunch</v>
      </c>
      <c r="B207" s="50" t="str">
        <f t="shared" si="25"/>
        <v>0</v>
      </c>
      <c r="C207" s="51">
        <f t="shared" si="28"/>
        <v>0</v>
      </c>
    </row>
    <row r="208" ht="16.5" customHeight="1" spans="1:3">
      <c r="A208" t="str">
        <f>'Section-Category'!A56</f>
        <v>School Supplies</v>
      </c>
      <c r="B208" s="50" t="str">
        <f t="shared" si="25"/>
        <v>0</v>
      </c>
      <c r="C208" s="51">
        <f t="shared" si="28"/>
        <v>0</v>
      </c>
    </row>
    <row r="209" ht="16.5" customHeight="1" spans="1:3">
      <c r="A209" t="str">
        <f>'Section-Category'!A57</f>
        <v>Babysitting</v>
      </c>
      <c r="B209" s="50" t="str">
        <f t="shared" si="25"/>
        <v>0</v>
      </c>
      <c r="C209" s="51">
        <f t="shared" si="28"/>
        <v>0</v>
      </c>
    </row>
    <row r="210" ht="16.5" customHeight="1" spans="1:3">
      <c r="A210" t="str">
        <f>'Section-Category'!A58</f>
        <v>Toys/Games</v>
      </c>
      <c r="B210" s="50" t="str">
        <f t="shared" si="25"/>
        <v>0</v>
      </c>
      <c r="C210" s="51">
        <f t="shared" si="28"/>
        <v>0</v>
      </c>
    </row>
    <row r="211" ht="16.5" customHeight="1" spans="1:3">
      <c r="A211" t="str">
        <f>'Section-Category'!A59</f>
        <v>Other</v>
      </c>
      <c r="B211" s="50" t="str">
        <f t="shared" si="25"/>
        <v>0</v>
      </c>
      <c r="C211" s="51">
        <f t="shared" si="28"/>
        <v>0</v>
      </c>
    </row>
    <row r="212" ht="16.5" customHeight="1" spans="1:3">
      <c r="A212" t="str">
        <f>'Section-Category'!A64</f>
        <v>Vehicle Payments</v>
      </c>
      <c r="B212" s="50" t="str">
        <f t="shared" si="25"/>
        <v>0</v>
      </c>
      <c r="C212" s="51">
        <f t="shared" ref="C212:C217" si="29">AG74</f>
        <v>0</v>
      </c>
    </row>
    <row r="213" ht="16.5" customHeight="1" spans="1:3">
      <c r="A213" t="str">
        <f>'Section-Category'!A65</f>
        <v>Fuel</v>
      </c>
      <c r="B213" s="50" t="str">
        <f t="shared" si="25"/>
        <v>0</v>
      </c>
      <c r="C213" s="51">
        <f t="shared" si="29"/>
        <v>0</v>
      </c>
    </row>
    <row r="214" ht="16.5" customHeight="1" spans="1:3">
      <c r="A214" t="str">
        <f>'Section-Category'!A66</f>
        <v>Bus/Taxi/Train Fare</v>
      </c>
      <c r="B214" s="50" t="str">
        <f t="shared" si="25"/>
        <v>0</v>
      </c>
      <c r="C214" s="51">
        <f t="shared" si="29"/>
        <v>0</v>
      </c>
    </row>
    <row r="215" ht="16.5" customHeight="1" spans="1:3">
      <c r="A215" t="str">
        <f>'Section-Category'!A67</f>
        <v>Repairs</v>
      </c>
      <c r="B215" s="50" t="str">
        <f t="shared" si="25"/>
        <v>0</v>
      </c>
      <c r="C215" s="51">
        <f t="shared" si="29"/>
        <v>0</v>
      </c>
    </row>
    <row r="216" ht="16.5" customHeight="1" spans="1:3">
      <c r="A216" t="str">
        <f>'Section-Category'!A68</f>
        <v>Registration/License</v>
      </c>
      <c r="B216" s="50" t="str">
        <f t="shared" si="25"/>
        <v>0</v>
      </c>
      <c r="C216" s="51">
        <f t="shared" si="29"/>
        <v>0</v>
      </c>
    </row>
    <row r="217" ht="16.5" customHeight="1" spans="1:3">
      <c r="A217" t="str">
        <f>'Section-Category'!A69</f>
        <v>Other</v>
      </c>
      <c r="B217" s="50" t="str">
        <f t="shared" si="25"/>
        <v>0</v>
      </c>
      <c r="C217" s="51">
        <f t="shared" si="29"/>
        <v>0</v>
      </c>
    </row>
    <row r="218" ht="16.5" customHeight="1" spans="1:3">
      <c r="A218" t="str">
        <f>'Section-Category'!A74</f>
        <v>Doctor/Dentist</v>
      </c>
      <c r="B218" s="50" t="str">
        <f t="shared" si="25"/>
        <v>0</v>
      </c>
      <c r="C218" s="54">
        <f>AG83</f>
        <v>0</v>
      </c>
    </row>
    <row r="219" ht="16.5" customHeight="1" spans="1:3">
      <c r="A219" t="str">
        <f>'Section-Category'!A75</f>
        <v>Medicine/Drugs</v>
      </c>
      <c r="B219" s="50" t="str">
        <f t="shared" si="25"/>
        <v>0</v>
      </c>
      <c r="C219" s="54">
        <f>AG84</f>
        <v>0</v>
      </c>
    </row>
    <row r="220" ht="16.5" customHeight="1" spans="1:3">
      <c r="A220" t="str">
        <f>'Section-Category'!A76</f>
        <v>Lab Test</v>
      </c>
      <c r="B220" s="50" t="str">
        <f t="shared" si="25"/>
        <v>0</v>
      </c>
      <c r="C220" s="54">
        <f>AG85</f>
        <v>0</v>
      </c>
    </row>
    <row r="221" ht="16.5" customHeight="1" spans="1:3">
      <c r="A221" t="str">
        <f>'Section-Category'!A77</f>
        <v>Consultation</v>
      </c>
      <c r="B221" s="50" t="str">
        <f t="shared" si="25"/>
        <v>0</v>
      </c>
      <c r="C221" s="54">
        <f>AG86</f>
        <v>0</v>
      </c>
    </row>
    <row r="222" ht="16.5" customHeight="1" spans="1:3">
      <c r="A222" t="str">
        <f>'Section-Category'!A78</f>
        <v>Other</v>
      </c>
      <c r="B222" s="50" t="str">
        <f t="shared" si="25"/>
        <v>0</v>
      </c>
      <c r="C222" s="54">
        <f>AG87</f>
        <v>0</v>
      </c>
    </row>
    <row r="223" ht="16.5" customHeight="1" spans="1:3">
      <c r="A223" t="str">
        <f>'Section-Category'!A83</f>
        <v>Pocket Money Wife</v>
      </c>
      <c r="B223" s="50" t="str">
        <f t="shared" si="25"/>
        <v>0</v>
      </c>
      <c r="C223" s="51">
        <f>AG133</f>
        <v>0</v>
      </c>
    </row>
    <row r="224" ht="16.5" customHeight="1" spans="1:3">
      <c r="A224" t="str">
        <f>'Section-Category'!A84</f>
        <v>Car Repair / Workshop</v>
      </c>
      <c r="B224" s="50" t="str">
        <f t="shared" si="25"/>
        <v>0</v>
      </c>
      <c r="C224" s="51">
        <f>AG134</f>
        <v>0</v>
      </c>
    </row>
    <row r="225" ht="16.5" customHeight="1" spans="1:3">
      <c r="A225" t="str">
        <f>'Section-Category'!A85</f>
        <v>Food</v>
      </c>
      <c r="B225" s="50" t="str">
        <f t="shared" si="25"/>
        <v>0</v>
      </c>
      <c r="C225" s="51">
        <f>AG135</f>
        <v>0</v>
      </c>
    </row>
    <row r="226" ht="16.5" customHeight="1" spans="1:3">
      <c r="A226" t="str">
        <f>'Section-Category'!A89</f>
        <v>Pocket Money Husband</v>
      </c>
      <c r="B226" s="50" t="str">
        <f t="shared" si="25"/>
        <v>0</v>
      </c>
      <c r="C226" s="51">
        <f>AG136</f>
        <v>0</v>
      </c>
    </row>
    <row r="227" ht="16.5" customHeight="1" spans="1:3">
      <c r="A227" t="str">
        <f>'Section-Category'!A90</f>
        <v>Other</v>
      </c>
      <c r="B227" s="50" t="str">
        <f t="shared" si="25"/>
        <v>0</v>
      </c>
      <c r="C227" s="51">
        <f>AG137</f>
        <v>0</v>
      </c>
    </row>
    <row r="228" ht="16.5" customHeight="1" spans="1:3">
      <c r="A228" t="str">
        <f>'Section-Category'!A95</f>
        <v>Tuition</v>
      </c>
      <c r="B228" s="50" t="str">
        <f t="shared" si="25"/>
        <v>0</v>
      </c>
      <c r="C228" s="51">
        <f>AG91</f>
        <v>0</v>
      </c>
    </row>
    <row r="229" ht="16.5" customHeight="1" spans="1:3">
      <c r="A229" t="str">
        <f>'Section-Category'!A96</f>
        <v>Books</v>
      </c>
      <c r="B229" s="50" t="str">
        <f t="shared" si="25"/>
        <v>0</v>
      </c>
      <c r="C229" s="51">
        <f>AG92</f>
        <v>0</v>
      </c>
    </row>
    <row r="230" ht="16.5" customHeight="1" spans="1:3">
      <c r="A230" t="str">
        <f>'Section-Category'!A97</f>
        <v>Music Lessons</v>
      </c>
      <c r="B230" s="50" t="str">
        <f t="shared" si="25"/>
        <v>0</v>
      </c>
      <c r="C230" s="51">
        <f>AG93</f>
        <v>0</v>
      </c>
    </row>
    <row r="231" ht="16.5" customHeight="1" spans="1:3">
      <c r="A231" t="str">
        <f>'Section-Category'!A98</f>
        <v>Other</v>
      </c>
      <c r="B231" s="50" t="str">
        <f t="shared" si="25"/>
        <v>0</v>
      </c>
      <c r="C231" s="51">
        <f>AG94</f>
        <v>0</v>
      </c>
    </row>
    <row r="232" ht="16.5" customHeight="1" spans="1:3">
      <c r="A232" t="str">
        <f>'Section-Category'!A103</f>
        <v>Gifts Given</v>
      </c>
      <c r="B232" s="50" t="str">
        <f t="shared" si="25"/>
        <v>0</v>
      </c>
      <c r="C232" s="51">
        <f>AG98</f>
        <v>0</v>
      </c>
    </row>
    <row r="233" ht="16.5" customHeight="1" spans="1:3">
      <c r="A233" t="str">
        <f>'Section-Category'!A104</f>
        <v>Couple Charity</v>
      </c>
      <c r="B233" s="50" t="str">
        <f t="shared" si="25"/>
        <v>0</v>
      </c>
      <c r="C233" s="51">
        <f>AG99</f>
        <v>0</v>
      </c>
    </row>
    <row r="234" ht="16.5" customHeight="1" spans="1:3">
      <c r="A234" t="str">
        <f>'Section-Category'!A105</f>
        <v>Mother Charity</v>
      </c>
      <c r="B234" s="50" t="str">
        <f t="shared" si="25"/>
        <v>0</v>
      </c>
      <c r="C234" s="51">
        <f>AG100</f>
        <v>0</v>
      </c>
    </row>
    <row r="235" ht="16.5" customHeight="1" spans="1:3">
      <c r="A235" t="str">
        <f>'Section-Category'!A106</f>
        <v>Other</v>
      </c>
      <c r="B235" s="50" t="str">
        <f t="shared" si="25"/>
        <v>0</v>
      </c>
      <c r="C235" s="51">
        <f>AG101</f>
        <v>0</v>
      </c>
    </row>
    <row r="236" ht="16.5" customHeight="1" spans="1:3">
      <c r="A236" t="str">
        <f>'Section-Category'!A111</f>
        <v>Credit Card Debt</v>
      </c>
      <c r="B236" s="50" t="str">
        <f t="shared" si="25"/>
        <v>0</v>
      </c>
      <c r="C236" s="54">
        <f>AG105</f>
        <v>0</v>
      </c>
    </row>
    <row r="237" ht="16.5" customHeight="1" spans="1:3">
      <c r="A237" t="str">
        <f>'Section-Category'!A112</f>
        <v>Punjab ST on CC Fee @16</v>
      </c>
      <c r="B237" s="50" t="str">
        <f t="shared" si="25"/>
        <v>0</v>
      </c>
      <c r="C237" s="54">
        <f>AG106</f>
        <v>0</v>
      </c>
    </row>
    <row r="238" ht="16.5" customHeight="1" spans="1:3">
      <c r="A238" t="str">
        <f>'Section-Category'!A113</f>
        <v>Advance Tax 5%</v>
      </c>
      <c r="B238" s="50" t="str">
        <f t="shared" si="25"/>
        <v>0</v>
      </c>
      <c r="C238" s="54">
        <f>AG107</f>
        <v>0</v>
      </c>
    </row>
    <row r="239" ht="16.5" customHeight="1" spans="1:3">
      <c r="A239" t="str">
        <f>'Section-Category'!A114</f>
        <v>Other</v>
      </c>
      <c r="B239" s="50" t="str">
        <f t="shared" si="25"/>
        <v>0</v>
      </c>
      <c r="C239" s="54">
        <f>AG108</f>
        <v>0</v>
      </c>
    </row>
    <row r="240" ht="16.5" customHeight="1" spans="1:3">
      <c r="A240" t="s">
        <v>53</v>
      </c>
      <c r="B240" s="50" t="str">
        <f t="shared" ref="B240:B275" si="30">IF(TRIM($C240)="0","0",ROUND(($C240/C$276)*100,2))</f>
        <v>0</v>
      </c>
      <c r="C240" s="51">
        <f>AG112</f>
        <v>0</v>
      </c>
    </row>
    <row r="241" ht="16.5" customHeight="1" spans="1:3">
      <c r="A241" t="s">
        <v>53</v>
      </c>
      <c r="B241" s="50" t="str">
        <f t="shared" si="30"/>
        <v>0</v>
      </c>
      <c r="C241" s="51">
        <f>AG113</f>
        <v>0</v>
      </c>
    </row>
    <row r="242" ht="16.5" customHeight="1" spans="1:3">
      <c r="A242" t="s">
        <v>53</v>
      </c>
      <c r="B242" s="50" t="str">
        <f t="shared" si="30"/>
        <v>0</v>
      </c>
      <c r="C242" s="51">
        <f>AG114</f>
        <v>0</v>
      </c>
    </row>
    <row r="243" ht="16.5" customHeight="1" spans="1:3">
      <c r="A243" t="s">
        <v>53</v>
      </c>
      <c r="B243" s="50" t="str">
        <f t="shared" si="30"/>
        <v>0</v>
      </c>
      <c r="C243" s="51">
        <f>AG115</f>
        <v>0</v>
      </c>
    </row>
    <row r="244" ht="16.5" customHeight="1" spans="1:3">
      <c r="A244" t="str">
        <f>'Section-Category'!A127</f>
        <v>Activities</v>
      </c>
      <c r="B244" s="50" t="str">
        <f t="shared" si="30"/>
        <v>0</v>
      </c>
      <c r="C244" s="51">
        <f t="shared" ref="C244:C254" si="31">AG119</f>
        <v>0</v>
      </c>
    </row>
    <row r="245" ht="16.5" customHeight="1" spans="1:3">
      <c r="A245" t="str">
        <f>'Section-Category'!A128</f>
        <v>Books</v>
      </c>
      <c r="B245" s="50" t="str">
        <f t="shared" si="30"/>
        <v>0</v>
      </c>
      <c r="C245" s="51">
        <f t="shared" si="31"/>
        <v>0</v>
      </c>
    </row>
    <row r="246" ht="16.5" customHeight="1" spans="1:3">
      <c r="A246" t="str">
        <f>'Section-Category'!A129</f>
        <v>Games</v>
      </c>
      <c r="B246" s="50" t="str">
        <f t="shared" si="30"/>
        <v>0</v>
      </c>
      <c r="C246" s="51">
        <f t="shared" si="31"/>
        <v>0</v>
      </c>
    </row>
    <row r="247" ht="16.5" customHeight="1" spans="1:3">
      <c r="A247" t="str">
        <f>'Section-Category'!A130</f>
        <v>Fun Stuff</v>
      </c>
      <c r="B247" s="50" t="str">
        <f t="shared" si="30"/>
        <v>0</v>
      </c>
      <c r="C247" s="51">
        <f t="shared" si="31"/>
        <v>0</v>
      </c>
    </row>
    <row r="248" ht="16.5" customHeight="1" spans="1:3">
      <c r="A248" t="str">
        <f>'Section-Category'!A131</f>
        <v>Hobbies</v>
      </c>
      <c r="B248" s="50" t="str">
        <f t="shared" si="30"/>
        <v>0</v>
      </c>
      <c r="C248" s="51">
        <f t="shared" si="31"/>
        <v>0</v>
      </c>
    </row>
    <row r="249" ht="16.5" customHeight="1" spans="1:3">
      <c r="A249" t="str">
        <f>'Section-Category'!A132</f>
        <v>Media</v>
      </c>
      <c r="B249" s="50" t="str">
        <f t="shared" si="30"/>
        <v>0</v>
      </c>
      <c r="C249" s="51">
        <f t="shared" si="31"/>
        <v>0</v>
      </c>
    </row>
    <row r="250" ht="16.5" customHeight="1" spans="1:3">
      <c r="A250" t="str">
        <f>'Section-Category'!A133</f>
        <v>Outdoor Recreation</v>
      </c>
      <c r="B250" s="50" t="str">
        <f t="shared" si="30"/>
        <v>0</v>
      </c>
      <c r="C250" s="51">
        <f t="shared" si="31"/>
        <v>0</v>
      </c>
    </row>
    <row r="251" ht="16.5" customHeight="1" spans="1:3">
      <c r="A251" t="str">
        <f>'Section-Category'!A134</f>
        <v>Sports</v>
      </c>
      <c r="B251" s="50" t="str">
        <f t="shared" si="30"/>
        <v>0</v>
      </c>
      <c r="C251" s="51">
        <f t="shared" si="31"/>
        <v>0</v>
      </c>
    </row>
    <row r="252" ht="16.5" customHeight="1" spans="1:3">
      <c r="A252" t="str">
        <f>'Section-Category'!A135</f>
        <v>Toys/Gadgets</v>
      </c>
      <c r="B252" s="50" t="str">
        <f t="shared" si="30"/>
        <v>0</v>
      </c>
      <c r="C252" s="51">
        <f t="shared" si="31"/>
        <v>0</v>
      </c>
    </row>
    <row r="253" ht="16.5" customHeight="1" spans="1:3">
      <c r="A253" t="str">
        <f>'Section-Category'!A136</f>
        <v>Vacation/Travel</v>
      </c>
      <c r="B253" s="50" t="str">
        <f t="shared" si="30"/>
        <v>0</v>
      </c>
      <c r="C253" s="51">
        <f t="shared" si="31"/>
        <v>0</v>
      </c>
    </row>
    <row r="254" ht="16.5" customHeight="1" spans="1:3">
      <c r="A254" t="str">
        <f>'Section-Category'!A137</f>
        <v>Other</v>
      </c>
      <c r="B254" s="50" t="str">
        <f t="shared" si="30"/>
        <v>0</v>
      </c>
      <c r="C254" s="51">
        <f t="shared" si="31"/>
        <v>0</v>
      </c>
    </row>
    <row r="255" ht="16.5" customHeight="1" spans="1:3">
      <c r="A255" t="str">
        <f>'Section-Category'!A142</f>
        <v>&lt;Name-Of-Entry&gt;</v>
      </c>
      <c r="B255" s="50" t="str">
        <f t="shared" si="30"/>
        <v>0</v>
      </c>
      <c r="C255" s="51">
        <f>AG133</f>
        <v>0</v>
      </c>
    </row>
    <row r="256" ht="16.5" customHeight="1" spans="1:3">
      <c r="A256" t="str">
        <f>'Section-Category'!A143</f>
        <v>&lt;Name-Of-Entry&gt;</v>
      </c>
      <c r="B256" s="50" t="str">
        <f t="shared" si="30"/>
        <v>0</v>
      </c>
      <c r="C256" s="51">
        <f>AG134</f>
        <v>0</v>
      </c>
    </row>
    <row r="257" ht="16.5" customHeight="1" spans="1:3">
      <c r="A257" t="str">
        <f>'Section-Category'!A144</f>
        <v>&lt;Name-Of-Entry&gt;</v>
      </c>
      <c r="B257" s="50" t="str">
        <f t="shared" si="30"/>
        <v>0</v>
      </c>
      <c r="C257" s="51">
        <f>AG135</f>
        <v>0</v>
      </c>
    </row>
    <row r="258" ht="16.5" customHeight="1" spans="1:3">
      <c r="A258" t="str">
        <f>'Section-Category'!A145</f>
        <v>&lt;Name-Of-Entry&gt;</v>
      </c>
      <c r="B258" s="50" t="str">
        <f t="shared" si="30"/>
        <v>0</v>
      </c>
      <c r="C258" s="51">
        <f>AG136</f>
        <v>0</v>
      </c>
    </row>
    <row r="259" ht="16.5" customHeight="1" spans="1:3">
      <c r="A259" t="str">
        <f>'Section-Category'!A150</f>
        <v>Netflix</v>
      </c>
      <c r="B259" s="50" t="str">
        <f t="shared" si="30"/>
        <v>0</v>
      </c>
      <c r="C259" s="51">
        <f t="shared" ref="C259:C264" si="32">AG140</f>
        <v>0</v>
      </c>
    </row>
    <row r="260" ht="16.5" customHeight="1" spans="1:3">
      <c r="A260" t="str">
        <f>'Section-Category'!A151</f>
        <v>Medium</v>
      </c>
      <c r="B260" s="50" t="str">
        <f t="shared" si="30"/>
        <v>0</v>
      </c>
      <c r="C260" s="51">
        <f t="shared" si="32"/>
        <v>0</v>
      </c>
    </row>
    <row r="261" ht="16.5" customHeight="1" spans="1:3">
      <c r="A261" t="str">
        <f>'Section-Category'!A152</f>
        <v>Youtube</v>
      </c>
      <c r="B261" s="50" t="str">
        <f t="shared" si="30"/>
        <v>0</v>
      </c>
      <c r="C261" s="51">
        <f t="shared" si="32"/>
        <v>0</v>
      </c>
    </row>
    <row r="262" ht="16.5" customHeight="1" spans="1:3">
      <c r="A262" t="str">
        <f>'Section-Category'!A153</f>
        <v>Google One</v>
      </c>
      <c r="B262" s="50" t="str">
        <f t="shared" si="30"/>
        <v>0</v>
      </c>
      <c r="C262" s="51">
        <f t="shared" si="32"/>
        <v>0</v>
      </c>
    </row>
    <row r="263" ht="16.5" customHeight="1" spans="1:3">
      <c r="A263" t="str">
        <f>'Section-Category'!A154</f>
        <v>Hetzner VM</v>
      </c>
      <c r="B263" s="50" t="str">
        <f t="shared" si="30"/>
        <v>0</v>
      </c>
      <c r="C263" s="51">
        <f t="shared" si="32"/>
        <v>0</v>
      </c>
    </row>
    <row r="264" ht="16.5" customHeight="1" spans="1:3">
      <c r="A264" t="str">
        <f>'Section-Category'!A155</f>
        <v>Claude/ChatGPT/Gemini -AI</v>
      </c>
      <c r="B264" s="50" t="str">
        <f t="shared" si="30"/>
        <v>0</v>
      </c>
      <c r="C264" s="51">
        <f t="shared" si="32"/>
        <v>0</v>
      </c>
    </row>
    <row r="265" ht="16.5" customHeight="1" spans="1:3">
      <c r="A265" t="str">
        <f>'Section-Category'!A160</f>
        <v>Travel</v>
      </c>
      <c r="B265" s="50" t="str">
        <f t="shared" si="30"/>
        <v>0</v>
      </c>
      <c r="C265" s="51">
        <f t="shared" ref="C265:C270" si="33">AG149</f>
        <v>0</v>
      </c>
    </row>
    <row r="266" ht="16.5" customHeight="1" spans="1:3">
      <c r="A266" t="str">
        <f>'Section-Category'!A161</f>
        <v>Lodging</v>
      </c>
      <c r="B266" s="50" t="str">
        <f t="shared" si="30"/>
        <v>0</v>
      </c>
      <c r="C266" s="51">
        <f t="shared" si="33"/>
        <v>0</v>
      </c>
    </row>
    <row r="267" ht="16.5" customHeight="1" spans="1:3">
      <c r="A267" t="str">
        <f>'Section-Category'!A162</f>
        <v>Food</v>
      </c>
      <c r="B267" s="50" t="str">
        <f t="shared" si="30"/>
        <v>0</v>
      </c>
      <c r="C267" s="51">
        <f t="shared" si="33"/>
        <v>0</v>
      </c>
    </row>
    <row r="268" ht="16.5" customHeight="1" spans="1:3">
      <c r="A268" t="str">
        <f>'Section-Category'!A163</f>
        <v>Rental Car</v>
      </c>
      <c r="B268" s="50" t="str">
        <f t="shared" si="30"/>
        <v>0</v>
      </c>
      <c r="C268" s="51">
        <f t="shared" si="33"/>
        <v>0</v>
      </c>
    </row>
    <row r="269" ht="16.5" customHeight="1" spans="1:3">
      <c r="A269" t="str">
        <f>'Section-Category'!A164</f>
        <v>Entertainment</v>
      </c>
      <c r="B269" s="50" t="str">
        <f t="shared" si="30"/>
        <v>0</v>
      </c>
      <c r="C269" s="51">
        <f t="shared" si="33"/>
        <v>0</v>
      </c>
    </row>
    <row r="270" ht="16.5" customHeight="1" spans="1:3">
      <c r="A270" t="str">
        <f>'Section-Category'!A165</f>
        <v>Other</v>
      </c>
      <c r="B270" s="50" t="str">
        <f t="shared" si="30"/>
        <v>0</v>
      </c>
      <c r="C270" s="51">
        <f t="shared" si="33"/>
        <v>0</v>
      </c>
    </row>
    <row r="271" ht="16.5" customHeight="1" spans="1:3">
      <c r="A271" t="str">
        <f>'Section-Category'!A170</f>
        <v>Bank Fees</v>
      </c>
      <c r="B271" s="50" t="str">
        <f t="shared" si="30"/>
        <v>0</v>
      </c>
      <c r="C271" s="51">
        <f>AG158</f>
        <v>0</v>
      </c>
    </row>
    <row r="272" ht="16.5" customHeight="1" spans="1:3">
      <c r="A272" t="str">
        <f>'Section-Category'!A171</f>
        <v>Postage</v>
      </c>
      <c r="B272" s="50" t="str">
        <f t="shared" si="30"/>
        <v>0</v>
      </c>
      <c r="C272" s="51">
        <f>AG159</f>
        <v>0</v>
      </c>
    </row>
    <row r="273" ht="16.5" customHeight="1" spans="1:3">
      <c r="A273" t="str">
        <f>'Section-Category'!A172</f>
        <v>Other</v>
      </c>
      <c r="B273" s="50" t="str">
        <f t="shared" si="30"/>
        <v>0</v>
      </c>
      <c r="C273" s="51">
        <f>AG160</f>
        <v>0</v>
      </c>
    </row>
    <row r="274" ht="16.5" customHeight="1" spans="1:3">
      <c r="A274" t="str">
        <f>'Section-Category'!A173</f>
        <v>&lt;Name-Of-Entry&gt;</v>
      </c>
      <c r="B274" s="50" t="str">
        <f t="shared" si="30"/>
        <v>0</v>
      </c>
      <c r="C274" s="51">
        <f>AG161</f>
        <v>0</v>
      </c>
    </row>
    <row r="275" ht="16.5" customHeight="1" spans="1:3">
      <c r="A275" t="str">
        <f>'Section-Category'!A174</f>
        <v>&lt;Name-Of-Entry&gt;</v>
      </c>
      <c r="B275" s="50" t="str">
        <f t="shared" si="30"/>
        <v>0</v>
      </c>
      <c r="C275" s="51">
        <f>AG162</f>
        <v>0</v>
      </c>
    </row>
    <row r="276" spans="1:3">
      <c r="A276" s="55" t="s">
        <v>19</v>
      </c>
      <c r="B276" s="56">
        <f>SUM(B176:B275)</f>
        <v>0</v>
      </c>
      <c r="C276" s="56">
        <f>SUM(C176:C275)</f>
        <v>0</v>
      </c>
    </row>
    <row r="277" spans="1:3">
      <c r="A277" s="57"/>
      <c r="B277" s="57"/>
      <c r="C277" s="58"/>
    </row>
    <row r="278" spans="1:3">
      <c r="A278" s="44" t="str">
        <f>'Section-Category'!A11</f>
        <v>SAVINGS EXPENSE</v>
      </c>
      <c r="B278" s="59" t="str">
        <f t="shared" ref="B278:B293" si="34">IF(TRIM($C278)="0","0",ROUND(($C278/C$294)*100,2))</f>
        <v>0</v>
      </c>
      <c r="C278" s="60">
        <f>AG31</f>
        <v>0</v>
      </c>
    </row>
    <row r="279" spans="1:3">
      <c r="A279" s="44" t="str">
        <f>'Section-Category'!A20</f>
        <v>HOME EXPENSES</v>
      </c>
      <c r="B279" s="59" t="str">
        <f t="shared" si="34"/>
        <v>0</v>
      </c>
      <c r="C279" s="60">
        <f>AG47</f>
        <v>0</v>
      </c>
    </row>
    <row r="280" spans="1:3">
      <c r="A280" s="44" t="str">
        <f>'Section-Category'!A37</f>
        <v>DAILY LIVING</v>
      </c>
      <c r="B280" s="59" t="str">
        <f t="shared" si="34"/>
        <v>0</v>
      </c>
      <c r="C280" s="60">
        <f>AG60</f>
        <v>0</v>
      </c>
    </row>
    <row r="281" spans="1:3">
      <c r="A281" s="44" t="str">
        <f>'Section-Category'!A51</f>
        <v>CHILDREN</v>
      </c>
      <c r="B281" s="59" t="str">
        <f t="shared" si="34"/>
        <v>0</v>
      </c>
      <c r="C281" s="60">
        <f>AG71</f>
        <v>0</v>
      </c>
    </row>
    <row r="282" spans="1:3">
      <c r="A282" s="44" t="str">
        <f>'Section-Category'!A63</f>
        <v>TRANSPORTATION</v>
      </c>
      <c r="B282" s="59" t="str">
        <f t="shared" si="34"/>
        <v>0</v>
      </c>
      <c r="C282" s="60">
        <f>AG80</f>
        <v>0</v>
      </c>
    </row>
    <row r="283" spans="1:3">
      <c r="A283" s="44" t="str">
        <f>'Section-Category'!A73</f>
        <v>HEALTH</v>
      </c>
      <c r="B283" s="59" t="str">
        <f t="shared" si="34"/>
        <v>0</v>
      </c>
      <c r="C283" s="60">
        <f>AG88</f>
        <v>0</v>
      </c>
    </row>
    <row r="284" spans="1:3">
      <c r="A284" s="44" t="str">
        <f>'Section-Category'!A82</f>
        <v>Petty Cash Used</v>
      </c>
      <c r="B284" s="59" t="str">
        <f t="shared" si="34"/>
        <v>0</v>
      </c>
      <c r="C284" s="60">
        <f>AG23</f>
        <v>0</v>
      </c>
    </row>
    <row r="285" spans="1:3">
      <c r="A285" s="44" t="str">
        <f>'Section-Category'!A94</f>
        <v>EDUCATION</v>
      </c>
      <c r="B285" s="59" t="str">
        <f t="shared" si="34"/>
        <v>0</v>
      </c>
      <c r="C285" s="60">
        <f>AG95</f>
        <v>0</v>
      </c>
    </row>
    <row r="286" spans="1:3">
      <c r="A286" s="44" t="str">
        <f>'Section-Category'!A102</f>
        <v>CHARITY/GIFTS</v>
      </c>
      <c r="B286" s="59" t="str">
        <f t="shared" si="34"/>
        <v>0</v>
      </c>
      <c r="C286" s="60">
        <f>AG102</f>
        <v>0</v>
      </c>
    </row>
    <row r="287" spans="1:3">
      <c r="A287" s="44" t="str">
        <f>'Section-Category'!A110</f>
        <v>OBLIGATIONS</v>
      </c>
      <c r="B287" s="59" t="str">
        <f t="shared" si="34"/>
        <v>0</v>
      </c>
      <c r="C287" s="60">
        <f>AG109</f>
        <v>0</v>
      </c>
    </row>
    <row r="288" spans="1:3">
      <c r="A288" s="44">
        <f>'Section-Category'!A118</f>
        <v>0</v>
      </c>
      <c r="B288" s="59" t="str">
        <f t="shared" si="34"/>
        <v>0</v>
      </c>
      <c r="C288" s="60">
        <f>AG137</f>
        <v>0</v>
      </c>
    </row>
    <row r="289" spans="1:3">
      <c r="A289" s="44" t="str">
        <f>'Section-Category'!A126</f>
        <v>ENTERTAINMENT</v>
      </c>
      <c r="B289" s="59" t="str">
        <f t="shared" si="34"/>
        <v>0</v>
      </c>
      <c r="C289" s="60">
        <f>AG130</f>
        <v>0</v>
      </c>
    </row>
    <row r="290" spans="1:3">
      <c r="A290" s="44">
        <f>'Section-Category'!A141</f>
        <v>0</v>
      </c>
      <c r="B290" s="59" t="str">
        <f t="shared" si="34"/>
        <v>0</v>
      </c>
      <c r="C290" s="60">
        <f>AG137</f>
        <v>0</v>
      </c>
    </row>
    <row r="291" spans="1:3">
      <c r="A291" s="44" t="str">
        <f>'Section-Category'!A149</f>
        <v>SUBSCRIPTIONS</v>
      </c>
      <c r="B291" s="59" t="str">
        <f t="shared" si="34"/>
        <v>0</v>
      </c>
      <c r="C291" s="60">
        <f>AG146</f>
        <v>0</v>
      </c>
    </row>
    <row r="292" spans="1:3">
      <c r="A292" s="44" t="str">
        <f>'Section-Category'!A159</f>
        <v>VACATION</v>
      </c>
      <c r="B292" s="59" t="str">
        <f t="shared" si="34"/>
        <v>0</v>
      </c>
      <c r="C292" s="60">
        <v>0</v>
      </c>
    </row>
    <row r="293" spans="1:3">
      <c r="A293" s="44" t="str">
        <f>'Section-Category'!A169</f>
        <v>MISCELLANEOUS</v>
      </c>
      <c r="B293" s="59" t="str">
        <f t="shared" si="34"/>
        <v>0</v>
      </c>
      <c r="C293" s="60">
        <f>AG163</f>
        <v>0</v>
      </c>
    </row>
    <row r="294" spans="1:3">
      <c r="A294" s="55" t="s">
        <v>19</v>
      </c>
      <c r="B294" s="56">
        <f>SUM(B277:B293)</f>
        <v>0</v>
      </c>
      <c r="C294" s="56">
        <f>SUM(C277:C293)</f>
        <v>0</v>
      </c>
    </row>
  </sheetData>
  <autoFilter xmlns:etc="http://www.wps.cn/officeDocument/2017/etCustomData" ref="A175:C294" etc:filterBottomFollowUsedRange="0">
    <extLst/>
  </autoFilter>
  <mergeCells count="1">
    <mergeCell ref="H168:M172"/>
  </mergeCells>
  <pageMargins left="0.75" right="0.75" top="1" bottom="1" header="0.511811023622047" footer="0.511811023622047"/>
  <pageSetup paperSize="9" orientation="portrait" useFirstPageNumber="1" horizontalDpi="300" verticalDpi="300"/>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9" sqref="A9"/>
    </sheetView>
  </sheetViews>
  <sheetFormatPr defaultColWidth="9.00833333333333" defaultRowHeight="16.8" customHeight="1" outlineLevelRow="6"/>
  <cols>
    <col min="1" max="1" width="146.783333333333" customWidth="1"/>
    <col min="4" max="4" width="13.1583333333333" customWidth="1"/>
    <col min="5" max="5" width="10.6916666666667" customWidth="1"/>
  </cols>
  <sheetData>
    <row r="1" ht="28.5" customHeight="1" spans="1:1">
      <c r="A1" s="19" t="s">
        <v>54</v>
      </c>
    </row>
    <row r="3" ht="24" customHeight="1" spans="1:1">
      <c r="A3" s="20" t="s">
        <v>55</v>
      </c>
    </row>
    <row r="4" ht="24" customHeight="1" spans="1:1">
      <c r="A4" s="20" t="s">
        <v>56</v>
      </c>
    </row>
    <row r="5" ht="24" customHeight="1" spans="1:1">
      <c r="A5" s="20" t="s">
        <v>57</v>
      </c>
    </row>
    <row r="6" ht="22.5" customHeight="1" spans="1:1">
      <c r="A6" s="21" t="str">
        <f>Budget!A11</f>
        <v>Petty Cash</v>
      </c>
    </row>
    <row r="7" ht="22.5" customHeight="1" spans="1:1">
      <c r="A7" s="21" t="str">
        <f>Budget!A8</f>
        <v>Balance I Can Used (Bank)</v>
      </c>
    </row>
  </sheetData>
  <pageMargins left="0.75" right="0.75" top="1" bottom="1" header="0.511811023622047" footer="0.511811023622047"/>
  <pageSetup paperSize="9" orientation="portrait" useFirstPageNumber="1"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77"/>
  <sheetViews>
    <sheetView tabSelected="1" topLeftCell="A140" workbookViewId="0">
      <selection activeCell="A156" sqref="A156"/>
    </sheetView>
  </sheetViews>
  <sheetFormatPr defaultColWidth="9.00833333333333" defaultRowHeight="16.8" customHeight="1"/>
  <cols>
    <col min="1" max="1" width="21.0666666666667" customWidth="1"/>
    <col min="4" max="33" width="18.4333333333333" customWidth="1"/>
    <col min="34" max="34" width="17.8166666666667" customWidth="1"/>
    <col min="35" max="38" width="12.3166666666667" customWidth="1"/>
  </cols>
  <sheetData>
    <row r="1" ht="21.75" customHeight="1" spans="1:38">
      <c r="A1" s="1" t="s">
        <v>39</v>
      </c>
      <c r="C1" s="2" t="s">
        <v>58</v>
      </c>
      <c r="D1" s="2">
        <v>2026</v>
      </c>
    </row>
    <row r="2" spans="1:38">
      <c r="A2" s="3" t="s">
        <v>40</v>
      </c>
    </row>
    <row r="3" spans="1:38">
      <c r="A3" s="3" t="s">
        <v>41</v>
      </c>
    </row>
    <row r="4" spans="1:38">
      <c r="A4" s="3" t="s">
        <v>42</v>
      </c>
    </row>
    <row r="5" ht="21.75" customHeight="1" spans="1:38">
      <c r="A5" s="3" t="s">
        <v>43</v>
      </c>
      <c r="C5" s="2" t="s">
        <v>59</v>
      </c>
    </row>
    <row r="6" spans="1:38">
      <c r="A6" s="3" t="s">
        <v>44</v>
      </c>
      <c r="C6" s="4" t="s">
        <v>7</v>
      </c>
      <c r="D6" s="5">
        <v>46023</v>
      </c>
      <c r="E6" s="5">
        <v>46024</v>
      </c>
      <c r="F6" s="5">
        <v>46025</v>
      </c>
      <c r="G6" s="5">
        <v>46026</v>
      </c>
      <c r="H6" s="5">
        <v>46027</v>
      </c>
      <c r="I6" s="5">
        <v>46028</v>
      </c>
      <c r="J6" s="5">
        <v>46029</v>
      </c>
      <c r="K6" s="5">
        <v>46030</v>
      </c>
      <c r="L6" s="5">
        <v>46031</v>
      </c>
      <c r="M6" s="5">
        <v>46032</v>
      </c>
      <c r="N6" s="5">
        <v>46033</v>
      </c>
      <c r="O6" s="5">
        <v>46034</v>
      </c>
      <c r="P6" s="5">
        <v>46035</v>
      </c>
      <c r="Q6" s="5">
        <v>46036</v>
      </c>
      <c r="R6" s="5">
        <v>46037</v>
      </c>
      <c r="S6" s="5">
        <v>46038</v>
      </c>
      <c r="T6" s="5">
        <v>46039</v>
      </c>
      <c r="U6" s="5">
        <v>46040</v>
      </c>
      <c r="V6" s="5">
        <v>46041</v>
      </c>
      <c r="W6" s="5">
        <v>46042</v>
      </c>
      <c r="X6" s="5">
        <v>46043</v>
      </c>
      <c r="Y6" s="5">
        <v>46044</v>
      </c>
      <c r="Z6" s="5">
        <v>46045</v>
      </c>
      <c r="AA6" s="5">
        <v>46046</v>
      </c>
      <c r="AB6" s="5">
        <v>46047</v>
      </c>
      <c r="AC6" s="5">
        <v>46048</v>
      </c>
      <c r="AD6" s="5">
        <v>46049</v>
      </c>
      <c r="AE6" s="5">
        <v>46050</v>
      </c>
      <c r="AF6" s="5">
        <v>46051</v>
      </c>
      <c r="AG6" s="5">
        <v>46052</v>
      </c>
      <c r="AH6" s="5">
        <v>46053</v>
      </c>
    </row>
    <row r="7" spans="1:38">
      <c r="A7" s="3" t="s">
        <v>45</v>
      </c>
      <c r="C7" s="4" t="s">
        <v>8</v>
      </c>
      <c r="D7" s="5">
        <v>46054</v>
      </c>
      <c r="E7" s="5">
        <v>46055</v>
      </c>
      <c r="F7" s="5">
        <v>46056</v>
      </c>
      <c r="G7" s="5">
        <v>46057</v>
      </c>
      <c r="H7" s="5">
        <v>46058</v>
      </c>
      <c r="I7" s="5">
        <v>46059</v>
      </c>
      <c r="J7" s="5">
        <v>46060</v>
      </c>
      <c r="K7" s="5">
        <v>46061</v>
      </c>
      <c r="L7" s="5">
        <v>46062</v>
      </c>
      <c r="M7" s="5">
        <v>46063</v>
      </c>
      <c r="N7" s="5">
        <v>46064</v>
      </c>
      <c r="O7" s="5">
        <v>46065</v>
      </c>
      <c r="P7" s="5">
        <v>46066</v>
      </c>
      <c r="Q7" s="5">
        <v>46067</v>
      </c>
      <c r="R7" s="5">
        <v>46068</v>
      </c>
      <c r="S7" s="5">
        <v>46069</v>
      </c>
      <c r="T7" s="5">
        <v>46070</v>
      </c>
      <c r="U7" s="5">
        <v>46071</v>
      </c>
      <c r="V7" s="5">
        <v>46072</v>
      </c>
      <c r="W7" s="5">
        <v>46073</v>
      </c>
      <c r="X7" s="5">
        <v>46074</v>
      </c>
      <c r="Y7" s="5">
        <v>46075</v>
      </c>
      <c r="Z7" s="5">
        <v>46076</v>
      </c>
      <c r="AA7" s="5">
        <v>46077</v>
      </c>
      <c r="AB7" s="5">
        <v>46078</v>
      </c>
      <c r="AC7" s="5">
        <v>46079</v>
      </c>
      <c r="AD7" s="5">
        <v>46080</v>
      </c>
      <c r="AE7" s="5">
        <v>46081</v>
      </c>
      <c r="AF7" s="5" t="s">
        <v>60</v>
      </c>
      <c r="AG7" s="5" t="s">
        <v>60</v>
      </c>
    </row>
    <row r="8" ht="17.25" customHeight="1" spans="1:38">
      <c r="A8" s="3" t="s">
        <v>46</v>
      </c>
      <c r="C8" s="4" t="s">
        <v>9</v>
      </c>
      <c r="D8" s="5">
        <v>46082</v>
      </c>
      <c r="E8" s="5">
        <v>46083</v>
      </c>
      <c r="F8" s="5">
        <v>46084</v>
      </c>
      <c r="G8" s="5">
        <v>46085</v>
      </c>
      <c r="H8" s="5">
        <v>46086</v>
      </c>
      <c r="I8" s="5">
        <v>46087</v>
      </c>
      <c r="J8" s="5">
        <v>46088</v>
      </c>
      <c r="K8" s="5">
        <v>46089</v>
      </c>
      <c r="L8" s="5">
        <v>46090</v>
      </c>
      <c r="M8" s="5">
        <v>46091</v>
      </c>
      <c r="N8" s="5">
        <v>46092</v>
      </c>
      <c r="O8" s="5">
        <v>46093</v>
      </c>
      <c r="P8" s="5">
        <v>46094</v>
      </c>
      <c r="Q8" s="5">
        <v>46095</v>
      </c>
      <c r="R8" s="5">
        <v>46096</v>
      </c>
      <c r="S8" s="5">
        <v>46097</v>
      </c>
      <c r="T8" s="5">
        <v>46098</v>
      </c>
      <c r="U8" s="5">
        <v>46099</v>
      </c>
      <c r="V8" s="5">
        <v>46100</v>
      </c>
      <c r="W8" s="5">
        <v>46101</v>
      </c>
      <c r="X8" s="5">
        <v>46102</v>
      </c>
      <c r="Y8" s="5">
        <v>46103</v>
      </c>
      <c r="Z8" s="5">
        <v>46104</v>
      </c>
      <c r="AA8" s="5">
        <v>46105</v>
      </c>
      <c r="AB8" s="5">
        <v>46106</v>
      </c>
      <c r="AC8" s="5">
        <v>46107</v>
      </c>
      <c r="AD8" s="5">
        <v>46108</v>
      </c>
      <c r="AE8" s="5">
        <v>46109</v>
      </c>
      <c r="AF8" s="5">
        <v>46110</v>
      </c>
      <c r="AG8" s="5">
        <v>46111</v>
      </c>
      <c r="AH8" s="5">
        <v>46112</v>
      </c>
    </row>
    <row r="9" ht="17.25" customHeight="1" spans="1:38">
      <c r="A9" s="6" t="str">
        <f>"Total "&amp;$A$1</f>
        <v>Total INCOME</v>
      </c>
      <c r="C9" s="4" t="s">
        <v>61</v>
      </c>
      <c r="D9" s="5">
        <v>46113</v>
      </c>
      <c r="E9" s="5">
        <v>46114</v>
      </c>
      <c r="F9" s="5">
        <v>46115</v>
      </c>
      <c r="G9" s="5">
        <v>46116</v>
      </c>
      <c r="H9" s="5">
        <v>46117</v>
      </c>
      <c r="I9" s="5">
        <v>46118</v>
      </c>
      <c r="J9" s="5">
        <v>46119</v>
      </c>
      <c r="K9" s="5">
        <v>46120</v>
      </c>
      <c r="L9" s="5">
        <v>46121</v>
      </c>
      <c r="M9" s="5">
        <v>46122</v>
      </c>
      <c r="N9" s="5">
        <v>46123</v>
      </c>
      <c r="O9" s="5">
        <v>46124</v>
      </c>
      <c r="P9" s="5">
        <v>46125</v>
      </c>
      <c r="Q9" s="5">
        <v>46126</v>
      </c>
      <c r="R9" s="5">
        <v>46127</v>
      </c>
      <c r="S9" s="5">
        <v>46128</v>
      </c>
      <c r="T9" s="5">
        <v>46129</v>
      </c>
      <c r="U9" s="5">
        <v>46130</v>
      </c>
      <c r="V9" s="5">
        <v>46131</v>
      </c>
      <c r="W9" s="5">
        <v>46132</v>
      </c>
      <c r="X9" s="5">
        <v>46133</v>
      </c>
      <c r="Y9" s="5">
        <v>46134</v>
      </c>
      <c r="Z9" s="5">
        <v>46135</v>
      </c>
      <c r="AA9" s="5">
        <v>46136</v>
      </c>
      <c r="AB9" s="5">
        <v>46137</v>
      </c>
      <c r="AC9" s="5">
        <v>46138</v>
      </c>
      <c r="AD9" s="5">
        <v>46139</v>
      </c>
      <c r="AE9" s="5">
        <v>46140</v>
      </c>
      <c r="AF9" s="5">
        <v>46141</v>
      </c>
      <c r="AG9" s="5">
        <v>46142</v>
      </c>
    </row>
    <row r="10" spans="1:38">
      <c r="A10" s="7"/>
      <c r="C10" s="4" t="s">
        <v>11</v>
      </c>
      <c r="D10" s="5">
        <v>46143</v>
      </c>
      <c r="E10" s="5">
        <v>46144</v>
      </c>
      <c r="F10" s="5">
        <v>46145</v>
      </c>
      <c r="G10" s="5">
        <v>46146</v>
      </c>
      <c r="H10" s="5">
        <v>46147</v>
      </c>
      <c r="I10" s="5">
        <v>46148</v>
      </c>
      <c r="J10" s="5">
        <v>46149</v>
      </c>
      <c r="K10" s="5">
        <v>46150</v>
      </c>
      <c r="L10" s="5">
        <v>46151</v>
      </c>
      <c r="M10" s="5">
        <v>46152</v>
      </c>
      <c r="N10" s="5">
        <v>46153</v>
      </c>
      <c r="O10" s="5">
        <v>46154</v>
      </c>
      <c r="P10" s="5">
        <v>46155</v>
      </c>
      <c r="Q10" s="5">
        <v>46156</v>
      </c>
      <c r="R10" s="5">
        <v>46157</v>
      </c>
      <c r="S10" s="5">
        <v>46158</v>
      </c>
      <c r="T10" s="5">
        <v>46159</v>
      </c>
      <c r="U10" s="5">
        <v>46160</v>
      </c>
      <c r="V10" s="5">
        <v>46161</v>
      </c>
      <c r="W10" s="5">
        <v>46162</v>
      </c>
      <c r="X10" s="5">
        <v>46163</v>
      </c>
      <c r="Y10" s="5">
        <v>46164</v>
      </c>
      <c r="Z10" s="5">
        <v>46165</v>
      </c>
      <c r="AA10" s="5">
        <v>46166</v>
      </c>
      <c r="AB10" s="5">
        <v>46167</v>
      </c>
      <c r="AC10" s="5">
        <v>46168</v>
      </c>
      <c r="AD10" s="5">
        <v>46169</v>
      </c>
      <c r="AE10" s="5">
        <v>46170</v>
      </c>
      <c r="AF10" s="5">
        <v>46171</v>
      </c>
      <c r="AG10" s="5">
        <v>46172</v>
      </c>
      <c r="AH10" s="5">
        <v>46173</v>
      </c>
    </row>
    <row r="11" spans="1:38">
      <c r="A11" s="8" t="s">
        <v>62</v>
      </c>
      <c r="C11" s="4" t="s">
        <v>12</v>
      </c>
      <c r="D11" s="5">
        <v>46174</v>
      </c>
      <c r="E11" s="5">
        <v>46175</v>
      </c>
      <c r="F11" s="5">
        <v>46176</v>
      </c>
      <c r="G11" s="5">
        <v>46177</v>
      </c>
      <c r="H11" s="5">
        <v>46178</v>
      </c>
      <c r="I11" s="5">
        <v>46179</v>
      </c>
      <c r="J11" s="5">
        <v>46180</v>
      </c>
      <c r="K11" s="5">
        <v>46181</v>
      </c>
      <c r="L11" s="5">
        <v>46182</v>
      </c>
      <c r="M11" s="5">
        <v>46183</v>
      </c>
      <c r="N11" s="5">
        <v>46184</v>
      </c>
      <c r="O11" s="5">
        <v>46185</v>
      </c>
      <c r="P11" s="5">
        <v>46186</v>
      </c>
      <c r="Q11" s="5">
        <v>46187</v>
      </c>
      <c r="R11" s="5">
        <v>46188</v>
      </c>
      <c r="S11" s="5">
        <v>46189</v>
      </c>
      <c r="T11" s="5">
        <v>46190</v>
      </c>
      <c r="U11" s="5">
        <v>46191</v>
      </c>
      <c r="V11" s="5">
        <v>46192</v>
      </c>
      <c r="W11" s="5">
        <v>46193</v>
      </c>
      <c r="X11" s="5">
        <v>46194</v>
      </c>
      <c r="Y11" s="5">
        <v>46195</v>
      </c>
      <c r="Z11" s="5">
        <v>46196</v>
      </c>
      <c r="AA11" s="5">
        <v>46197</v>
      </c>
      <c r="AB11" s="5">
        <v>46198</v>
      </c>
      <c r="AC11" s="5">
        <v>46199</v>
      </c>
      <c r="AD11" s="5">
        <v>46200</v>
      </c>
      <c r="AE11" s="5">
        <v>46201</v>
      </c>
      <c r="AF11" s="5">
        <v>46202</v>
      </c>
      <c r="AG11" s="5">
        <v>46203</v>
      </c>
    </row>
    <row r="12" spans="1:38">
      <c r="A12" s="9" t="s">
        <v>63</v>
      </c>
      <c r="C12" s="4" t="s">
        <v>13</v>
      </c>
      <c r="D12" s="5">
        <v>46204</v>
      </c>
      <c r="E12" s="5">
        <v>46205</v>
      </c>
      <c r="F12" s="5">
        <v>46206</v>
      </c>
      <c r="G12" s="5">
        <v>46207</v>
      </c>
      <c r="H12" s="5">
        <v>46208</v>
      </c>
      <c r="I12" s="5">
        <v>46209</v>
      </c>
      <c r="J12" s="5">
        <v>46210</v>
      </c>
      <c r="K12" s="5">
        <v>46211</v>
      </c>
      <c r="L12" s="5">
        <v>46212</v>
      </c>
      <c r="M12" s="5">
        <v>46213</v>
      </c>
      <c r="N12" s="5">
        <v>46214</v>
      </c>
      <c r="O12" s="5">
        <v>46215</v>
      </c>
      <c r="P12" s="5">
        <v>46216</v>
      </c>
      <c r="Q12" s="5">
        <v>46217</v>
      </c>
      <c r="R12" s="5">
        <v>46218</v>
      </c>
      <c r="S12" s="5">
        <v>46219</v>
      </c>
      <c r="T12" s="5">
        <v>46220</v>
      </c>
      <c r="U12" s="5">
        <v>46221</v>
      </c>
      <c r="V12" s="5">
        <v>46222</v>
      </c>
      <c r="W12" s="5">
        <v>46223</v>
      </c>
      <c r="X12" s="5">
        <v>46224</v>
      </c>
      <c r="Y12" s="5">
        <v>46225</v>
      </c>
      <c r="Z12" s="5">
        <v>46226</v>
      </c>
      <c r="AA12" s="5">
        <v>46227</v>
      </c>
      <c r="AB12" s="5">
        <v>46228</v>
      </c>
      <c r="AC12" s="5">
        <v>46229</v>
      </c>
      <c r="AD12" s="5">
        <v>46230</v>
      </c>
      <c r="AE12" s="5">
        <v>46231</v>
      </c>
      <c r="AF12" s="5">
        <v>46232</v>
      </c>
      <c r="AG12" s="5">
        <v>46233</v>
      </c>
      <c r="AH12" s="5">
        <v>46234</v>
      </c>
      <c r="AI12" s="5"/>
      <c r="AJ12" s="5"/>
      <c r="AK12" s="5"/>
      <c r="AL12" s="5"/>
    </row>
    <row r="13" spans="1:38">
      <c r="A13" s="9" t="s">
        <v>64</v>
      </c>
      <c r="C13" s="4" t="s">
        <v>14</v>
      </c>
      <c r="D13" s="5">
        <v>46235</v>
      </c>
      <c r="E13" s="5">
        <v>46236</v>
      </c>
      <c r="F13" s="5">
        <v>46237</v>
      </c>
      <c r="G13" s="5">
        <v>46238</v>
      </c>
      <c r="H13" s="5">
        <v>46239</v>
      </c>
      <c r="I13" s="5">
        <v>46240</v>
      </c>
      <c r="J13" s="5">
        <v>46241</v>
      </c>
      <c r="K13" s="5">
        <v>46242</v>
      </c>
      <c r="L13" s="5">
        <v>46243</v>
      </c>
      <c r="M13" s="5">
        <v>46244</v>
      </c>
      <c r="N13" s="5">
        <v>46245</v>
      </c>
      <c r="O13" s="5">
        <v>46246</v>
      </c>
      <c r="P13" s="5">
        <v>46247</v>
      </c>
      <c r="Q13" s="5">
        <v>46248</v>
      </c>
      <c r="R13" s="5">
        <v>46249</v>
      </c>
      <c r="S13" s="5">
        <v>46250</v>
      </c>
      <c r="T13" s="5">
        <v>46251</v>
      </c>
      <c r="U13" s="5">
        <v>46252</v>
      </c>
      <c r="V13" s="5">
        <v>46253</v>
      </c>
      <c r="W13" s="5">
        <v>46254</v>
      </c>
      <c r="X13" s="5">
        <v>46255</v>
      </c>
      <c r="Y13" s="5">
        <v>46256</v>
      </c>
      <c r="Z13" s="5">
        <v>46257</v>
      </c>
      <c r="AA13" s="5">
        <v>46258</v>
      </c>
      <c r="AB13" s="5">
        <v>46259</v>
      </c>
      <c r="AC13" s="5">
        <v>46260</v>
      </c>
      <c r="AD13" s="5">
        <v>46261</v>
      </c>
      <c r="AE13" s="5">
        <v>46262</v>
      </c>
      <c r="AF13" s="5">
        <v>46263</v>
      </c>
      <c r="AG13" s="5">
        <v>46264</v>
      </c>
      <c r="AH13" s="5">
        <v>46265</v>
      </c>
    </row>
    <row r="14" spans="1:38">
      <c r="A14" s="9" t="s">
        <v>65</v>
      </c>
      <c r="C14" s="4" t="s">
        <v>15</v>
      </c>
      <c r="D14" s="5">
        <v>46266</v>
      </c>
      <c r="E14" s="5">
        <v>46267</v>
      </c>
      <c r="F14" s="5">
        <v>46268</v>
      </c>
      <c r="G14" s="5">
        <v>46269</v>
      </c>
      <c r="H14" s="5">
        <v>46270</v>
      </c>
      <c r="I14" s="5">
        <v>46271</v>
      </c>
      <c r="J14" s="5">
        <v>46272</v>
      </c>
      <c r="K14" s="5">
        <v>46273</v>
      </c>
      <c r="L14" s="5">
        <v>46274</v>
      </c>
      <c r="M14" s="5">
        <v>46275</v>
      </c>
      <c r="N14" s="5">
        <v>46276</v>
      </c>
      <c r="O14" s="5">
        <v>46277</v>
      </c>
      <c r="P14" s="5">
        <v>46278</v>
      </c>
      <c r="Q14" s="5">
        <v>46279</v>
      </c>
      <c r="R14" s="5">
        <v>46280</v>
      </c>
      <c r="S14" s="5">
        <v>46281</v>
      </c>
      <c r="T14" s="5">
        <v>46282</v>
      </c>
      <c r="U14" s="5">
        <v>46283</v>
      </c>
      <c r="V14" s="5">
        <v>46284</v>
      </c>
      <c r="W14" s="5">
        <v>46285</v>
      </c>
      <c r="X14" s="5">
        <v>46286</v>
      </c>
      <c r="Y14" s="5">
        <v>46287</v>
      </c>
      <c r="Z14" s="5">
        <v>46288</v>
      </c>
      <c r="AA14" s="5">
        <v>46289</v>
      </c>
      <c r="AB14" s="5">
        <v>46290</v>
      </c>
      <c r="AC14" s="5">
        <v>46291</v>
      </c>
      <c r="AD14" s="5">
        <v>46292</v>
      </c>
      <c r="AE14" s="5">
        <v>46293</v>
      </c>
      <c r="AF14" s="5">
        <v>46294</v>
      </c>
      <c r="AG14" s="5">
        <v>46295</v>
      </c>
    </row>
    <row r="15" spans="1:38">
      <c r="A15" s="9" t="s">
        <v>53</v>
      </c>
      <c r="C15" s="4" t="s">
        <v>16</v>
      </c>
      <c r="D15" s="5">
        <v>46296</v>
      </c>
      <c r="E15" s="5">
        <v>46297</v>
      </c>
      <c r="F15" s="5">
        <v>46298</v>
      </c>
      <c r="G15" s="5">
        <v>46299</v>
      </c>
      <c r="H15" s="5">
        <v>46300</v>
      </c>
      <c r="I15" s="5">
        <v>46301</v>
      </c>
      <c r="J15" s="5">
        <v>46302</v>
      </c>
      <c r="K15" s="5">
        <v>46303</v>
      </c>
      <c r="L15" s="5">
        <v>46304</v>
      </c>
      <c r="M15" s="5">
        <v>46305</v>
      </c>
      <c r="N15" s="5">
        <v>46306</v>
      </c>
      <c r="O15" s="5">
        <v>46307</v>
      </c>
      <c r="P15" s="5">
        <v>46308</v>
      </c>
      <c r="Q15" s="5">
        <v>46309</v>
      </c>
      <c r="R15" s="5">
        <v>46310</v>
      </c>
      <c r="S15" s="5">
        <v>46311</v>
      </c>
      <c r="T15" s="5">
        <v>46312</v>
      </c>
      <c r="U15" s="5">
        <v>46313</v>
      </c>
      <c r="V15" s="5">
        <v>46314</v>
      </c>
      <c r="W15" s="5">
        <v>46315</v>
      </c>
      <c r="X15" s="5">
        <v>46316</v>
      </c>
      <c r="Y15" s="5">
        <v>46317</v>
      </c>
      <c r="Z15" s="5">
        <v>46318</v>
      </c>
      <c r="AA15" s="5">
        <v>46319</v>
      </c>
      <c r="AB15" s="5">
        <v>46320</v>
      </c>
      <c r="AC15" s="5">
        <v>46321</v>
      </c>
      <c r="AD15" s="5">
        <v>46322</v>
      </c>
      <c r="AE15" s="5">
        <v>46323</v>
      </c>
      <c r="AF15" s="5">
        <v>46324</v>
      </c>
      <c r="AG15" s="5">
        <v>46325</v>
      </c>
      <c r="AH15" s="5">
        <v>46326</v>
      </c>
    </row>
    <row r="16" ht="17.25" customHeight="1" spans="1:38">
      <c r="A16" s="9" t="s">
        <v>53</v>
      </c>
      <c r="C16" s="4" t="s">
        <v>17</v>
      </c>
      <c r="D16" s="5">
        <v>46327</v>
      </c>
      <c r="E16" s="5">
        <v>46328</v>
      </c>
      <c r="F16" s="5">
        <v>46329</v>
      </c>
      <c r="G16" s="5">
        <v>46330</v>
      </c>
      <c r="H16" s="5">
        <v>46331</v>
      </c>
      <c r="I16" s="5">
        <v>46332</v>
      </c>
      <c r="J16" s="5">
        <v>46333</v>
      </c>
      <c r="K16" s="5">
        <v>46334</v>
      </c>
      <c r="L16" s="5">
        <v>46335</v>
      </c>
      <c r="M16" s="5">
        <v>46336</v>
      </c>
      <c r="N16" s="5">
        <v>46337</v>
      </c>
      <c r="O16" s="5">
        <v>46338</v>
      </c>
      <c r="P16" s="5">
        <v>46339</v>
      </c>
      <c r="Q16" s="5">
        <v>46340</v>
      </c>
      <c r="R16" s="5">
        <v>46341</v>
      </c>
      <c r="S16" s="5">
        <v>46342</v>
      </c>
      <c r="T16" s="5">
        <v>46343</v>
      </c>
      <c r="U16" s="5">
        <v>46344</v>
      </c>
      <c r="V16" s="5">
        <v>46345</v>
      </c>
      <c r="W16" s="5">
        <v>46346</v>
      </c>
      <c r="X16" s="5">
        <v>46347</v>
      </c>
      <c r="Y16" s="5">
        <v>46348</v>
      </c>
      <c r="Z16" s="5">
        <v>46349</v>
      </c>
      <c r="AA16" s="5">
        <v>46350</v>
      </c>
      <c r="AB16" s="5">
        <v>46351</v>
      </c>
      <c r="AC16" s="5">
        <v>46352</v>
      </c>
      <c r="AD16" s="5">
        <v>46353</v>
      </c>
      <c r="AE16" s="5">
        <v>46354</v>
      </c>
      <c r="AF16" s="5">
        <v>46355</v>
      </c>
      <c r="AG16" s="5">
        <v>46356</v>
      </c>
    </row>
    <row r="17" ht="17.25" customHeight="1" spans="1:34">
      <c r="A17" s="10" t="str">
        <f>"Total "&amp;$A$11</f>
        <v>Total SAVINGS EXPENSE</v>
      </c>
      <c r="C17" s="4" t="s">
        <v>18</v>
      </c>
      <c r="D17" s="5">
        <v>46357</v>
      </c>
      <c r="E17" s="5">
        <v>46358</v>
      </c>
      <c r="F17" s="5">
        <v>46359</v>
      </c>
      <c r="G17" s="5">
        <v>46360</v>
      </c>
      <c r="H17" s="5">
        <v>46361</v>
      </c>
      <c r="I17" s="5">
        <v>46362</v>
      </c>
      <c r="J17" s="5">
        <v>46363</v>
      </c>
      <c r="K17" s="5">
        <v>46364</v>
      </c>
      <c r="L17" s="5">
        <v>46365</v>
      </c>
      <c r="M17" s="5">
        <v>46366</v>
      </c>
      <c r="N17" s="5">
        <v>46367</v>
      </c>
      <c r="O17" s="5">
        <v>46368</v>
      </c>
      <c r="P17" s="5">
        <v>46369</v>
      </c>
      <c r="Q17" s="5">
        <v>46370</v>
      </c>
      <c r="R17" s="5">
        <v>46371</v>
      </c>
      <c r="S17" s="5">
        <v>46372</v>
      </c>
      <c r="T17" s="5">
        <v>46373</v>
      </c>
      <c r="U17" s="5">
        <v>46374</v>
      </c>
      <c r="V17" s="5">
        <v>46375</v>
      </c>
      <c r="W17" s="5">
        <v>46376</v>
      </c>
      <c r="X17" s="5">
        <v>46377</v>
      </c>
      <c r="Y17" s="5">
        <v>46378</v>
      </c>
      <c r="Z17" s="5">
        <v>46379</v>
      </c>
      <c r="AA17" s="5">
        <v>46380</v>
      </c>
      <c r="AB17" s="5">
        <v>46381</v>
      </c>
      <c r="AC17" s="5">
        <v>46382</v>
      </c>
      <c r="AD17" s="5">
        <v>46383</v>
      </c>
      <c r="AE17" s="5">
        <v>46384</v>
      </c>
      <c r="AF17" s="5">
        <v>46385</v>
      </c>
      <c r="AG17" s="5">
        <v>46386</v>
      </c>
      <c r="AH17" s="5">
        <v>46387</v>
      </c>
    </row>
    <row r="18" spans="1:34">
      <c r="A18" s="11" t="s">
        <v>66</v>
      </c>
    </row>
    <row r="19" spans="1:34">
      <c r="A19" s="7"/>
    </row>
    <row r="20" spans="1:34">
      <c r="A20" s="8" t="s">
        <v>67</v>
      </c>
    </row>
    <row r="21" spans="1:34">
      <c r="A21" s="9" t="s">
        <v>68</v>
      </c>
    </row>
    <row r="22" spans="1:34">
      <c r="A22" s="9" t="s">
        <v>69</v>
      </c>
    </row>
    <row r="23" spans="1:34">
      <c r="A23" s="9" t="s">
        <v>70</v>
      </c>
    </row>
    <row r="24" spans="1:34">
      <c r="A24" s="9" t="s">
        <v>71</v>
      </c>
    </row>
    <row r="25" spans="1:34">
      <c r="A25" s="9" t="s">
        <v>72</v>
      </c>
    </row>
    <row r="26" spans="1:34">
      <c r="A26" s="9" t="s">
        <v>73</v>
      </c>
    </row>
    <row r="27" spans="1:34">
      <c r="A27" s="9" t="s">
        <v>74</v>
      </c>
    </row>
    <row r="28" spans="1:34">
      <c r="A28" s="9" t="s">
        <v>75</v>
      </c>
    </row>
    <row r="29" spans="1:34">
      <c r="A29" s="9" t="s">
        <v>76</v>
      </c>
    </row>
    <row r="30" spans="1:34">
      <c r="A30" s="9" t="s">
        <v>77</v>
      </c>
    </row>
    <row r="31" spans="1:34">
      <c r="A31" s="9" t="s">
        <v>78</v>
      </c>
    </row>
    <row r="32" spans="1:34">
      <c r="A32" s="9" t="s">
        <v>79</v>
      </c>
    </row>
    <row r="33" ht="17.25" customHeight="1" spans="1:1">
      <c r="A33" s="9" t="s">
        <v>45</v>
      </c>
    </row>
    <row r="34" ht="17.55" customHeight="1" spans="1:1">
      <c r="A34" s="10" t="str">
        <f>"Total "&amp;$A$20</f>
        <v>Total HOME EXPENSES</v>
      </c>
    </row>
    <row r="35" spans="1:1">
      <c r="A35" s="11" t="s">
        <v>66</v>
      </c>
    </row>
    <row r="36" spans="1:1">
      <c r="A36" s="7"/>
    </row>
    <row r="37" spans="1:1">
      <c r="A37" s="12" t="s">
        <v>80</v>
      </c>
    </row>
    <row r="38" spans="1:1">
      <c r="A38" s="13" t="s">
        <v>81</v>
      </c>
    </row>
    <row r="39" spans="1:1">
      <c r="A39" s="13" t="s">
        <v>82</v>
      </c>
    </row>
    <row r="40" spans="1:1">
      <c r="A40" s="13" t="s">
        <v>83</v>
      </c>
    </row>
    <row r="41" spans="1:1">
      <c r="A41" s="13" t="s">
        <v>84</v>
      </c>
    </row>
    <row r="42" spans="1:1">
      <c r="A42" s="13" t="s">
        <v>85</v>
      </c>
    </row>
    <row r="43" spans="1:1">
      <c r="A43" s="13" t="s">
        <v>86</v>
      </c>
    </row>
    <row r="44" spans="1:1">
      <c r="A44" s="13" t="s">
        <v>87</v>
      </c>
    </row>
    <row r="45" spans="1:1">
      <c r="A45" s="13" t="s">
        <v>88</v>
      </c>
    </row>
    <row r="46" spans="1:1">
      <c r="A46" s="13" t="s">
        <v>89</v>
      </c>
    </row>
    <row r="47" ht="17.55" customHeight="1" spans="1:1">
      <c r="A47" s="13" t="s">
        <v>45</v>
      </c>
    </row>
    <row r="48" ht="17.55" customHeight="1" spans="1:1">
      <c r="A48" s="10" t="str">
        <f>"Total "&amp;$A$37</f>
        <v>Total DAILY LIVING</v>
      </c>
    </row>
    <row r="49" spans="1:1">
      <c r="A49" s="11" t="s">
        <v>66</v>
      </c>
    </row>
    <row r="50" spans="1:1">
      <c r="A50" s="7"/>
    </row>
    <row r="51" spans="1:1">
      <c r="A51" s="12" t="s">
        <v>90</v>
      </c>
    </row>
    <row r="52" spans="1:1">
      <c r="A52" s="13" t="s">
        <v>91</v>
      </c>
    </row>
    <row r="53" spans="1:1">
      <c r="A53" s="13" t="s">
        <v>83</v>
      </c>
    </row>
    <row r="54" spans="1:1">
      <c r="A54" s="13" t="s">
        <v>92</v>
      </c>
    </row>
    <row r="55" spans="1:1">
      <c r="A55" s="13" t="s">
        <v>93</v>
      </c>
    </row>
    <row r="56" spans="1:1">
      <c r="A56" s="13" t="s">
        <v>94</v>
      </c>
    </row>
    <row r="57" spans="1:1">
      <c r="A57" s="13" t="s">
        <v>95</v>
      </c>
    </row>
    <row r="58" spans="1:1">
      <c r="A58" s="13" t="s">
        <v>96</v>
      </c>
    </row>
    <row r="59" ht="17.55" customHeight="1" spans="1:1">
      <c r="A59" s="13" t="s">
        <v>45</v>
      </c>
    </row>
    <row r="60" ht="17.55" customHeight="1" spans="1:1">
      <c r="A60" s="10" t="str">
        <f>"Total "&amp;$A$51</f>
        <v>Total CHILDREN</v>
      </c>
    </row>
    <row r="61" spans="1:1">
      <c r="A61" s="11" t="s">
        <v>66</v>
      </c>
    </row>
    <row r="62" spans="1:1">
      <c r="A62" s="7"/>
    </row>
    <row r="63" spans="1:1">
      <c r="A63" s="12" t="s">
        <v>97</v>
      </c>
    </row>
    <row r="64" spans="1:1">
      <c r="A64" s="13" t="s">
        <v>98</v>
      </c>
    </row>
    <row r="65" spans="1:1">
      <c r="A65" s="13" t="s">
        <v>99</v>
      </c>
    </row>
    <row r="66" spans="1:1">
      <c r="A66" s="13" t="s">
        <v>100</v>
      </c>
    </row>
    <row r="67" spans="1:1">
      <c r="A67" s="13" t="s">
        <v>101</v>
      </c>
    </row>
    <row r="68" spans="1:1">
      <c r="A68" s="13" t="s">
        <v>102</v>
      </c>
    </row>
    <row r="69" ht="17.55" customHeight="1" spans="1:1">
      <c r="A69" s="13" t="s">
        <v>45</v>
      </c>
    </row>
    <row r="70" ht="17.55" customHeight="1" spans="1:1">
      <c r="A70" s="10" t="str">
        <f>"Total "&amp;$A$63</f>
        <v>Total TRANSPORTATION</v>
      </c>
    </row>
    <row r="71" spans="1:1">
      <c r="A71" s="11" t="s">
        <v>66</v>
      </c>
    </row>
    <row r="72" spans="1:1">
      <c r="A72" s="7"/>
    </row>
    <row r="73" spans="1:1">
      <c r="A73" s="12" t="s">
        <v>103</v>
      </c>
    </row>
    <row r="74" spans="1:1">
      <c r="A74" s="13" t="s">
        <v>104</v>
      </c>
    </row>
    <row r="75" spans="1:1">
      <c r="A75" s="13" t="s">
        <v>105</v>
      </c>
    </row>
    <row r="76" spans="1:1">
      <c r="A76" s="13" t="s">
        <v>106</v>
      </c>
    </row>
    <row r="77" spans="1:1">
      <c r="A77" s="13" t="s">
        <v>107</v>
      </c>
    </row>
    <row r="78" ht="17.55" customHeight="1" spans="1:1">
      <c r="A78" s="13" t="s">
        <v>45</v>
      </c>
    </row>
    <row r="79" ht="17.55" customHeight="1" spans="1:1">
      <c r="A79" s="10" t="str">
        <f>"Total "&amp;$A$73</f>
        <v>Total HEALTH</v>
      </c>
    </row>
    <row r="80" spans="1:1">
      <c r="A80" s="11" t="s">
        <v>66</v>
      </c>
    </row>
    <row r="81" spans="1:1">
      <c r="A81" s="7"/>
    </row>
    <row r="82" spans="1:1">
      <c r="A82" s="14" t="s">
        <v>26</v>
      </c>
    </row>
    <row r="83" spans="1:1">
      <c r="A83" s="15" t="s">
        <v>65</v>
      </c>
    </row>
    <row r="84" spans="1:1">
      <c r="A84" s="15" t="s">
        <v>108</v>
      </c>
    </row>
    <row r="85" spans="1:1">
      <c r="A85" s="15" t="s">
        <v>109</v>
      </c>
    </row>
    <row r="86" spans="1:1">
      <c r="A86" s="15" t="s">
        <v>110</v>
      </c>
    </row>
    <row r="87" spans="1:1">
      <c r="A87" s="15" t="s">
        <v>91</v>
      </c>
    </row>
    <row r="88" spans="1:1">
      <c r="A88" s="15" t="s">
        <v>110</v>
      </c>
    </row>
    <row r="89" spans="1:1">
      <c r="A89" s="15" t="s">
        <v>111</v>
      </c>
    </row>
    <row r="90" ht="17.25" customHeight="1" spans="1:1">
      <c r="A90" s="15" t="s">
        <v>45</v>
      </c>
    </row>
    <row r="91" ht="17.25" customHeight="1" spans="1:1">
      <c r="A91" s="10" t="str">
        <f>"Total "&amp;$A$82</f>
        <v>Total Petty Cash Used</v>
      </c>
    </row>
    <row r="92" spans="1:1">
      <c r="A92" s="11" t="s">
        <v>112</v>
      </c>
    </row>
    <row r="93" spans="1:1">
      <c r="A93" s="7"/>
    </row>
    <row r="94" spans="1:1">
      <c r="A94" s="12" t="s">
        <v>113</v>
      </c>
    </row>
    <row r="95" spans="1:1">
      <c r="A95" s="13" t="s">
        <v>114</v>
      </c>
    </row>
    <row r="96" spans="1:1">
      <c r="A96" s="13" t="s">
        <v>115</v>
      </c>
    </row>
    <row r="97" spans="1:1">
      <c r="A97" s="13" t="s">
        <v>116</v>
      </c>
    </row>
    <row r="98" ht="17.55" customHeight="1" spans="1:1">
      <c r="A98" s="13" t="s">
        <v>45</v>
      </c>
    </row>
    <row r="99" ht="17.55" customHeight="1" spans="1:1">
      <c r="A99" s="10" t="str">
        <f>"Total "&amp;$A$94</f>
        <v>Total EDUCATION</v>
      </c>
    </row>
    <row r="100" spans="1:1">
      <c r="A100" s="11" t="s">
        <v>66</v>
      </c>
    </row>
    <row r="101" spans="1:1">
      <c r="A101" s="7"/>
    </row>
    <row r="102" spans="1:1">
      <c r="A102" s="12" t="s">
        <v>117</v>
      </c>
    </row>
    <row r="103" spans="1:1">
      <c r="A103" s="13" t="s">
        <v>118</v>
      </c>
    </row>
    <row r="104" spans="1:1">
      <c r="A104" s="13" t="s">
        <v>119</v>
      </c>
    </row>
    <row r="105" spans="1:1">
      <c r="A105" s="13" t="s">
        <v>120</v>
      </c>
    </row>
    <row r="106" ht="17.55" customHeight="1" spans="1:1">
      <c r="A106" s="13" t="s">
        <v>45</v>
      </c>
    </row>
    <row r="107" ht="17.55" customHeight="1" spans="1:1">
      <c r="A107" s="10" t="str">
        <f>"Total "&amp;$A$102</f>
        <v>Total CHARITY/GIFTS</v>
      </c>
    </row>
    <row r="108" spans="1:1">
      <c r="A108" s="11" t="s">
        <v>66</v>
      </c>
    </row>
    <row r="109" spans="1:1">
      <c r="A109" s="7"/>
    </row>
    <row r="110" spans="1:1">
      <c r="A110" s="12" t="s">
        <v>121</v>
      </c>
    </row>
    <row r="111" spans="1:1">
      <c r="A111" s="13" t="s">
        <v>122</v>
      </c>
    </row>
    <row r="112" spans="1:1">
      <c r="A112" s="13" t="s">
        <v>123</v>
      </c>
    </row>
    <row r="113" spans="1:1">
      <c r="A113" s="13" t="s">
        <v>124</v>
      </c>
    </row>
    <row r="114" ht="17.25" customHeight="1" spans="1:1">
      <c r="A114" s="9" t="s">
        <v>45</v>
      </c>
    </row>
    <row r="115" ht="17.25" customHeight="1" spans="1:1">
      <c r="A115" s="10" t="str">
        <f>"Total "&amp;$A$110</f>
        <v>Total OBLIGATIONS</v>
      </c>
    </row>
    <row r="116" spans="1:1">
      <c r="A116" s="11" t="s">
        <v>66</v>
      </c>
    </row>
    <row r="117" spans="1:1">
      <c r="A117" s="7"/>
    </row>
    <row r="118" spans="1:1">
      <c r="A118" s="12"/>
    </row>
    <row r="119" spans="1:1">
      <c r="A119" s="9" t="str">
        <f>May!A240</f>
        <v>&lt;Name-Of-Entry&gt;</v>
      </c>
    </row>
    <row r="120" spans="1:1">
      <c r="A120" s="9" t="s">
        <v>53</v>
      </c>
    </row>
    <row r="121" spans="1:1">
      <c r="A121" s="9" t="s">
        <v>53</v>
      </c>
    </row>
    <row r="122" ht="17.25" customHeight="1" spans="1:1">
      <c r="A122" s="9" t="s">
        <v>53</v>
      </c>
    </row>
    <row r="123" ht="17.55" customHeight="1" spans="1:1">
      <c r="A123" s="10" t="str">
        <f>"Total "&amp;$A$118</f>
        <v>Total </v>
      </c>
    </row>
    <row r="124" spans="1:1">
      <c r="A124" s="16" t="s">
        <v>66</v>
      </c>
    </row>
    <row r="125" spans="1:1">
      <c r="A125" s="7"/>
    </row>
    <row r="126" spans="1:1">
      <c r="A126" s="12" t="s">
        <v>125</v>
      </c>
    </row>
    <row r="127" spans="1:1">
      <c r="A127" s="13" t="s">
        <v>126</v>
      </c>
    </row>
    <row r="128" spans="1:1">
      <c r="A128" s="13" t="s">
        <v>115</v>
      </c>
    </row>
    <row r="129" spans="1:1">
      <c r="A129" s="13" t="s">
        <v>127</v>
      </c>
    </row>
    <row r="130" spans="1:1">
      <c r="A130" s="13" t="s">
        <v>128</v>
      </c>
    </row>
    <row r="131" spans="1:1">
      <c r="A131" s="13" t="s">
        <v>129</v>
      </c>
    </row>
    <row r="132" spans="1:1">
      <c r="A132" s="13" t="s">
        <v>130</v>
      </c>
    </row>
    <row r="133" spans="1:1">
      <c r="A133" s="13" t="s">
        <v>131</v>
      </c>
    </row>
    <row r="134" spans="1:1">
      <c r="A134" s="13" t="s">
        <v>132</v>
      </c>
    </row>
    <row r="135" spans="1:1">
      <c r="A135" s="13" t="s">
        <v>133</v>
      </c>
    </row>
    <row r="136" spans="1:1">
      <c r="A136" s="13" t="s">
        <v>134</v>
      </c>
    </row>
    <row r="137" ht="17.55" customHeight="1" spans="1:1">
      <c r="A137" s="13" t="s">
        <v>45</v>
      </c>
    </row>
    <row r="138" ht="17.55" customHeight="1" spans="1:1">
      <c r="A138" s="10" t="str">
        <f>"Total "&amp;$A$126</f>
        <v>Total ENTERTAINMENT</v>
      </c>
    </row>
    <row r="139" spans="1:1">
      <c r="A139" s="11" t="s">
        <v>66</v>
      </c>
    </row>
    <row r="140" spans="1:1">
      <c r="A140" s="7"/>
    </row>
    <row r="141" spans="1:1">
      <c r="A141" s="12"/>
    </row>
    <row r="142" spans="1:1">
      <c r="A142" s="9" t="s">
        <v>53</v>
      </c>
    </row>
    <row r="143" spans="1:1">
      <c r="A143" s="9" t="s">
        <v>53</v>
      </c>
    </row>
    <row r="144" spans="1:1">
      <c r="A144" s="9" t="s">
        <v>53</v>
      </c>
    </row>
    <row r="145" ht="17.25" customHeight="1" spans="1:1">
      <c r="A145" s="9" t="s">
        <v>53</v>
      </c>
    </row>
    <row r="146" ht="17.25" customHeight="1" spans="1:1">
      <c r="A146" s="10" t="str">
        <f>"Total "&amp;$A$118</f>
        <v>Total </v>
      </c>
    </row>
    <row r="147" spans="1:1">
      <c r="A147" s="16" t="s">
        <v>66</v>
      </c>
    </row>
    <row r="148" spans="1:1">
      <c r="A148" s="7"/>
    </row>
    <row r="149" spans="1:1">
      <c r="A149" s="12" t="s">
        <v>135</v>
      </c>
    </row>
    <row r="150" spans="1:1">
      <c r="A150" s="13" t="s">
        <v>136</v>
      </c>
    </row>
    <row r="151" spans="1:1">
      <c r="A151" s="13" t="s">
        <v>137</v>
      </c>
    </row>
    <row r="152" spans="1:1">
      <c r="A152" s="13" t="s">
        <v>138</v>
      </c>
    </row>
    <row r="153" spans="1:1">
      <c r="A153" s="13" t="s">
        <v>139</v>
      </c>
    </row>
    <row r="154" spans="1:1">
      <c r="A154" s="13" t="s">
        <v>140</v>
      </c>
    </row>
    <row r="155" ht="17.55" customHeight="1" spans="1:1">
      <c r="A155" s="13" t="s">
        <v>141</v>
      </c>
    </row>
    <row r="156" ht="17.55" customHeight="1" spans="1:1">
      <c r="A156" s="10" t="str">
        <f>"Total "&amp;$A$149</f>
        <v>Total SUBSCRIPTIONS</v>
      </c>
    </row>
    <row r="157" spans="1:1">
      <c r="A157" s="11" t="s">
        <v>66</v>
      </c>
    </row>
    <row r="158" spans="1:1">
      <c r="A158" s="17" t="s">
        <v>48</v>
      </c>
    </row>
    <row r="159" spans="1:1">
      <c r="A159" s="12" t="s">
        <v>142</v>
      </c>
    </row>
    <row r="160" spans="1:1">
      <c r="A160" s="13" t="s">
        <v>143</v>
      </c>
    </row>
    <row r="161" spans="1:1">
      <c r="A161" s="13" t="s">
        <v>144</v>
      </c>
    </row>
    <row r="162" spans="1:1">
      <c r="A162" s="13" t="s">
        <v>109</v>
      </c>
    </row>
    <row r="163" spans="1:1">
      <c r="A163" s="13" t="s">
        <v>145</v>
      </c>
    </row>
    <row r="164" spans="1:1">
      <c r="A164" s="13" t="s">
        <v>146</v>
      </c>
    </row>
    <row r="165" ht="17.55" customHeight="1" spans="1:1">
      <c r="A165" s="13" t="s">
        <v>45</v>
      </c>
    </row>
    <row r="166" ht="17.55" customHeight="1" spans="1:1">
      <c r="A166" s="10" t="str">
        <f>"Total "&amp;$A$159</f>
        <v>Total VACATION</v>
      </c>
    </row>
    <row r="167" spans="1:1">
      <c r="A167" s="11" t="s">
        <v>66</v>
      </c>
    </row>
    <row r="168" spans="1:1">
      <c r="A168" s="18"/>
    </row>
    <row r="169" spans="1:1">
      <c r="A169" s="12" t="s">
        <v>147</v>
      </c>
    </row>
    <row r="170" spans="1:1">
      <c r="A170" s="13" t="s">
        <v>148</v>
      </c>
    </row>
    <row r="171" spans="1:1">
      <c r="A171" s="13" t="s">
        <v>149</v>
      </c>
    </row>
    <row r="172" spans="1:1">
      <c r="A172" s="13" t="s">
        <v>45</v>
      </c>
    </row>
    <row r="173" spans="1:1">
      <c r="A173" s="13" t="s">
        <v>53</v>
      </c>
    </row>
    <row r="174" ht="17.25" customHeight="1" spans="1:1">
      <c r="A174" s="13" t="s">
        <v>53</v>
      </c>
    </row>
    <row r="175" ht="17.25" customHeight="1" spans="1:1">
      <c r="A175" s="10" t="str">
        <f>"Total "&amp;$A$169</f>
        <v>Total MISCELLANEOUS</v>
      </c>
    </row>
    <row r="176" ht="17.55" customHeight="1" spans="1:1">
      <c r="A176" s="11" t="s">
        <v>66</v>
      </c>
    </row>
    <row r="177" ht="17.25" customHeight="1" spans="1:1">
      <c r="A177" s="10"/>
    </row>
  </sheetData>
  <pageMargins left="0.75" right="0.75" top="1" bottom="1" header="0.511811023622047" footer="0.511811023622047"/>
  <pageSetup paperSize="9" orientation="portrait" useFirstPageNumber="1" horizontalDpi="300" verticalDpi="3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Budget</vt:lpstr>
      <vt:lpstr>Jan</vt:lpstr>
      <vt:lpstr>Feb</vt:lpstr>
      <vt:lpstr>Mar</vt:lpstr>
      <vt:lpstr>Apr</vt:lpstr>
      <vt:lpstr>May</vt:lpstr>
      <vt:lpstr>Jun</vt:lpstr>
      <vt:lpstr>Jul</vt:lpstr>
      <vt:lpstr>Aug</vt:lpstr>
      <vt:lpstr>Sep</vt:lpstr>
      <vt:lpstr>Oct</vt:lpstr>
      <vt:lpstr>Nov</vt:lpstr>
      <vt:lpstr>Dec</vt:lpstr>
      <vt:lpstr>Rules</vt:lpstr>
      <vt:lpstr>Section-Category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Family Budget Planner</dc:title>
  <dc:creator>Vertex42.com</dc:creator>
  <dc:description>(c) 2008-2020 Vertex42 LLC. All Rights Reserved.</dc:description>
  <cp:lastModifiedBy>mirza nehal Baig</cp:lastModifiedBy>
  <cp:revision>1</cp:revision>
  <dcterms:created xsi:type="dcterms:W3CDTF">2007-10-29T22:07:00Z</dcterms:created>
  <cp:lastPrinted>2020-01-15T17:23:00Z</cp:lastPrinted>
  <dcterms:modified xsi:type="dcterms:W3CDTF">2026-05-14T05:10:41Z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1156786119D926D0561AFD6904199961_43</vt:lpwstr>
  </property>
  <property fmtid="{D5CDD505-2E9C-101B-9397-08002B2CF9AE}" pid="3" name="KSOProductBuildVer">
    <vt:lpwstr>1033-12.1.25880.25880</vt:lpwstr>
  </property>
  <property fmtid="{D5CDD505-2E9C-101B-9397-08002B2CF9AE}" pid="4" name="CalculationRule">
    <vt:i4>0</vt:i4>
  </property>
</Properties>
</file>